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I Aalityk\Excel\"/>
    </mc:Choice>
  </mc:AlternateContent>
  <xr:revisionPtr revIDLastSave="0" documentId="13_ncr:1_{7B42424D-FCC8-498E-91A1-9BBB2F74F8F2}" xr6:coauthVersionLast="47" xr6:coauthVersionMax="47" xr10:uidLastSave="{00000000-0000-0000-0000-000000000000}"/>
  <bookViews>
    <workbookView xWindow="-108" yWindow="-108" windowWidth="23256" windowHeight="12456" xr2:uid="{259DCC41-97CA-4E81-82E7-7E886C3CDBB1}"/>
  </bookViews>
  <sheets>
    <sheet name="Dashboard" sheetId="5" r:id="rId1"/>
    <sheet name="WykresyKPI" sheetId="4" r:id="rId2"/>
    <sheet name="Statystyka opisowa" sheetId="2" r:id="rId3"/>
    <sheet name="DanePolicja" sheetId="1" r:id="rId4"/>
  </sheets>
  <definedNames>
    <definedName name="_xlnm._FilterDatabase" localSheetId="3" hidden="1">DanePolicja!$A$1:$N$368</definedName>
    <definedName name="_xlchart.v1.0" hidden="1">DanePolicja!$K$2:$K$368</definedName>
    <definedName name="_xlchart.v1.1" hidden="1">DanePolicja!$K$2:$K$368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5" l="1"/>
  <c r="G39" i="4"/>
  <c r="G38" i="4"/>
  <c r="H34" i="4"/>
  <c r="B11" i="5" s="1"/>
  <c r="H30" i="4"/>
  <c r="G23" i="4"/>
  <c r="B29" i="5" s="1"/>
  <c r="G20" i="4"/>
  <c r="B36" i="4"/>
  <c r="B17" i="5" s="1"/>
  <c r="D3" i="2"/>
  <c r="E3" i="2"/>
  <c r="F3" i="2"/>
  <c r="G3" i="2"/>
  <c r="H3" i="2"/>
  <c r="I3" i="2"/>
  <c r="D4" i="2"/>
  <c r="E4" i="2"/>
  <c r="F4" i="2"/>
  <c r="G4" i="2"/>
  <c r="H4" i="2"/>
  <c r="I4" i="2"/>
  <c r="D5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C8" i="2"/>
  <c r="C7" i="2"/>
  <c r="C6" i="2"/>
  <c r="C5" i="2"/>
  <c r="C4" i="2"/>
  <c r="C3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C49" i="4"/>
  <c r="K39" i="4"/>
  <c r="K38" i="4"/>
  <c r="B39" i="4"/>
  <c r="B5" i="5" l="1"/>
  <c r="B23" i="5"/>
</calcChain>
</file>

<file path=xl/sharedStrings.xml><?xml version="1.0" encoding="utf-8"?>
<sst xmlns="http://schemas.openxmlformats.org/spreadsheetml/2006/main" count="108" uniqueCount="79">
  <si>
    <t>Data</t>
  </si>
  <si>
    <t>Interwencje</t>
  </si>
  <si>
    <t>Zatrzymani na gorącym uczynku</t>
  </si>
  <si>
    <t>Zatrzymani poszukiwani</t>
  </si>
  <si>
    <t>Kierujący po spożyciu alkoholu</t>
  </si>
  <si>
    <t>Wypadki drogowe</t>
  </si>
  <si>
    <t>Zabici w wypadkach</t>
  </si>
  <si>
    <t>Ranni w wypadkach</t>
  </si>
  <si>
    <t>Miesiąc</t>
  </si>
  <si>
    <t>Dzien tygodnia</t>
  </si>
  <si>
    <t>Nr tygodnia</t>
  </si>
  <si>
    <t>Czy weekend</t>
  </si>
  <si>
    <t>Śmiertelnosc</t>
  </si>
  <si>
    <t>Zatrzymani na 1k interwencji</t>
  </si>
  <si>
    <t>Miara / Zmienna</t>
  </si>
  <si>
    <t>Średnia</t>
  </si>
  <si>
    <t>Mediana</t>
  </si>
  <si>
    <t>Suma</t>
  </si>
  <si>
    <t>Minimum</t>
  </si>
  <si>
    <t>Maksimum</t>
  </si>
  <si>
    <t>Odchylenie stand</t>
  </si>
  <si>
    <t>Suma z Interwencje</t>
  </si>
  <si>
    <t>Etykiety wierszy</t>
  </si>
  <si>
    <t>Suma końcowa</t>
  </si>
  <si>
    <t>Zatrzymani na goracym uczynku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</si>
  <si>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</si>
  <si>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</si>
  <si>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</si>
  <si>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</si>
  <si>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</si>
  <si>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</si>
  <si>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</si>
  <si>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</si>
  <si>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</si>
  <si>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</si>
  <si>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</si>
  <si>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</si>
  <si>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Suma z Zatrzymani na gorącym uczynku</t>
  </si>
  <si>
    <t>Suma z Zatrzymani poszukiwani</t>
  </si>
  <si>
    <t>Suma z Kierujący po spożyciu alkoholu</t>
  </si>
  <si>
    <t>Suma z Wypadki drogowe</t>
  </si>
  <si>
    <t>Suma z Zabici w wypadkach</t>
  </si>
  <si>
    <t>Suma z Ranni w wypadkach</t>
  </si>
  <si>
    <t>poniedziałek</t>
  </si>
  <si>
    <t>wtorek</t>
  </si>
  <si>
    <t>środa</t>
  </si>
  <si>
    <t>czwartek</t>
  </si>
  <si>
    <t>piątek</t>
  </si>
  <si>
    <t>sobota</t>
  </si>
  <si>
    <t>niedziela</t>
  </si>
  <si>
    <t>NIE</t>
  </si>
  <si>
    <t>TAK</t>
  </si>
  <si>
    <t>Średnia z Wypadki drogowe</t>
  </si>
  <si>
    <t>Dzień tygodnia</t>
  </si>
  <si>
    <t>Dni bez ofiar śmiertelnych (%)</t>
  </si>
  <si>
    <t>Średnia z Kierujący po spożyciu alkoholu</t>
  </si>
  <si>
    <t>Czy weekend?</t>
  </si>
  <si>
    <t>Ranni na wypadek</t>
  </si>
  <si>
    <t>Nietrzeźwi % interwencji</t>
  </si>
  <si>
    <t>Poszukiwani na 1k interwencji</t>
  </si>
  <si>
    <t>% Zabitych wśród ofiar</t>
  </si>
  <si>
    <t>Typ zatrzymania</t>
  </si>
  <si>
    <t>Na gorącym uczynku</t>
  </si>
  <si>
    <t>Poszukiwani</t>
  </si>
  <si>
    <t>Liczba</t>
  </si>
  <si>
    <t>Średnia nietrzeźwych</t>
  </si>
  <si>
    <t>Liczba wszystkich interwencji w ciągu roku</t>
  </si>
  <si>
    <t>Nietrzeźwi: jaki to % interwencji</t>
  </si>
  <si>
    <t>Weekend</t>
  </si>
  <si>
    <t>Dni robocze</t>
  </si>
  <si>
    <t>Wyeliminowani nietrzeźwi na 1 wypadek</t>
  </si>
  <si>
    <t>Skuteczność prewencji</t>
  </si>
  <si>
    <t>Zatrzymani nietrzeźwi na 1 wypadek</t>
  </si>
  <si>
    <t>Podsumowanie wyników</t>
  </si>
  <si>
    <t>Analiza struktury zatrzymań ujawnia dominację interwencji nagłych („na gorącym uczynku”), które stanowią ok. 60% działań, co wymusza utrzymywanie wysokiej mobilności patroli. Choć nietrzeźwi kierujący to zaledwie 1,50% ogółu wszystkich interwencji, generują oni kluczowe zagrożenie w dni wolne od pracy. Obserwowany rozdźwięk między piątkowym szczytem wypadkowym a weekendowym wzrostem nietrzeźwości sugeruje konieczność wdrożenia elastycznego grafiku służb, koncentrującego siły na płynności ruchu w piątki oraz na blokadach trzeźwości w soboty i niedziele.</t>
  </si>
  <si>
    <r>
      <t xml:space="preserve">ANALIZA EFEKTYWNOŚCI POLICJI I BEZPIECZEŃSTWA DROGOWEGO </t>
    </r>
    <r>
      <rPr>
        <b/>
        <sz val="11"/>
        <color theme="2" tint="-0.499984740745262"/>
        <rFont val="Aptos Narrow"/>
        <family val="2"/>
        <scheme val="minor"/>
      </rPr>
      <t>Raport roczny za okres: 07.12.2024 – 08.12.2025</t>
    </r>
  </si>
  <si>
    <r>
      <t xml:space="preserve">Zestawienie statystyk opisowych obrazuje wysoką intensywność działań policyjnych, z dominacją zatrzymań na gorącym uczynku (średnio </t>
    </r>
    <r>
      <rPr>
        <b/>
        <sz val="11"/>
        <color theme="1"/>
        <rFont val="Aptos Narrow"/>
        <family val="2"/>
        <scheme val="minor"/>
      </rPr>
      <t>548</t>
    </r>
    <r>
      <rPr>
        <sz val="11"/>
        <color theme="1"/>
        <rFont val="Aptos Narrow"/>
        <family val="2"/>
        <scheme val="minor"/>
      </rPr>
      <t xml:space="preserve"> dziennie) nad zatrzymaniami poszukiwanych (</t>
    </r>
    <r>
      <rPr>
        <b/>
        <sz val="11"/>
        <color theme="1"/>
        <rFont val="Aptos Narrow"/>
        <family val="2"/>
        <scheme val="minor"/>
      </rPr>
      <t>366</t>
    </r>
    <r>
      <rPr>
        <sz val="11"/>
        <color theme="1"/>
        <rFont val="Aptos Narrow"/>
        <family val="2"/>
        <scheme val="minor"/>
      </rPr>
      <t xml:space="preserve">). Uwagę zwraca wysoka amplituda w kategorii nietrzeźwych kierowców (Max: 675 vs Średnia: 262), sugerująca występowanie okresowych skoków zagrożenia. Dane potwierdzają też smutną statystykę wypadkową – każdego dnia rannych zostaje średnio </t>
    </r>
    <r>
      <rPr>
        <b/>
        <sz val="11"/>
        <color theme="1"/>
        <rFont val="Aptos Narrow"/>
        <family val="2"/>
        <scheme val="minor"/>
      </rPr>
      <t>66 osób</t>
    </r>
    <r>
      <rPr>
        <sz val="11"/>
        <color theme="1"/>
        <rFont val="Aptos Narrow"/>
        <family val="2"/>
        <scheme val="minor"/>
      </rPr>
      <t>.</t>
    </r>
  </si>
  <si>
    <r>
      <rPr>
        <b/>
        <sz val="12"/>
        <color theme="1"/>
        <rFont val="Aptos Narrow"/>
        <family val="2"/>
        <scheme val="minor"/>
      </rPr>
      <t xml:space="preserve">W którym dniu tygodnia dochodzi do największej liczby wypadków?                   </t>
    </r>
    <r>
      <rPr>
        <sz val="12"/>
        <color theme="1"/>
        <rFont val="Aptos Narrow"/>
        <family val="2"/>
        <scheme val="minor"/>
      </rPr>
      <t xml:space="preserve">                                       W piątek (średni indeks 65), co wiąże się ze szczytem wyjazdowym.
</t>
    </r>
    <r>
      <rPr>
        <b/>
        <sz val="12"/>
        <color theme="1"/>
        <rFont val="Aptos Narrow"/>
        <family val="2"/>
        <scheme val="minor"/>
      </rPr>
      <t xml:space="preserve">Kiedy zagrożenie ze strony nietrzeźwych kierowców jest najwyższe?                                                                 </t>
    </r>
    <r>
      <rPr>
        <sz val="12"/>
        <color theme="1"/>
        <rFont val="Aptos Narrow"/>
        <family val="2"/>
        <scheme val="minor"/>
      </rPr>
      <t xml:space="preserve">W weekendy (średnio 293 osoby dziennie) – to wzrost o 18% względem dni roboczych.
</t>
    </r>
    <r>
      <rPr>
        <b/>
        <sz val="12"/>
        <color theme="1"/>
        <rFont val="Aptos Narrow"/>
        <family val="2"/>
        <scheme val="minor"/>
      </rPr>
      <t xml:space="preserve">Jak wygląda zależność między obciążeniem policji a skutecznością?                                               </t>
    </r>
    <r>
      <rPr>
        <sz val="12"/>
        <color theme="1"/>
        <rFont val="Aptos Narrow"/>
        <family val="2"/>
        <scheme val="minor"/>
      </rPr>
      <t xml:space="preserve">Występuje korelacja ujemna – w dniach o największej liczbie interwencji skuteczność zatrzymań spada.
</t>
    </r>
    <r>
      <rPr>
        <b/>
        <sz val="12"/>
        <color theme="1"/>
        <rFont val="Aptos Narrow"/>
        <family val="2"/>
        <scheme val="minor"/>
      </rPr>
      <t xml:space="preserve">Czy weekendy są bardziej niebezpieczne niż dni robocze?                                                                                     </t>
    </r>
    <r>
      <rPr>
        <sz val="12"/>
        <color theme="1"/>
        <rFont val="Aptos Narrow"/>
        <family val="2"/>
        <scheme val="minor"/>
      </rPr>
      <t xml:space="preserve">Tylko pod kątem alkoholu. Pod względem ogólnej liczby wypadków weekendy są bezpieczniejsze niż dni robocze (np. niedziela ma najmniej zdarzeń).
</t>
    </r>
    <r>
      <rPr>
        <b/>
        <sz val="12"/>
        <color theme="1"/>
        <rFont val="Aptos Narrow"/>
        <family val="2"/>
        <scheme val="minor"/>
      </rPr>
      <t>Jak często zdarzają się dni bez ofiar śmiertelnych?</t>
    </r>
    <r>
      <rPr>
        <sz val="12"/>
        <color theme="1"/>
        <rFont val="Aptos Narrow"/>
        <family val="2"/>
        <scheme val="minor"/>
      </rPr>
      <t xml:space="preserve">                                                                                           Marginalnie rzadko – zaledwie 2% dni w roku kończy się bez żadnego zgonu na drodze.
</t>
    </r>
    <r>
      <rPr>
        <b/>
        <sz val="12"/>
        <color theme="1"/>
        <rFont val="Aptos Narrow"/>
        <family val="2"/>
        <scheme val="minor"/>
      </rPr>
      <t xml:space="preserve">Jaka jest skala prewencji? </t>
    </r>
    <r>
      <rPr>
        <sz val="12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           Wysoka – na każdy 1 zaistniały wypadek policja eliminuje z ruchu 4 nietrzeźwych kierowców.</t>
    </r>
  </si>
  <si>
    <t>Liczba wszystkich osób rannych w wypadkach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</si>
</sst>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1"/>
      <name val="Aptos Display"/>
      <family val="2"/>
    </font>
    <font>
      <b/>
      <sz val="2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2" tint="-0.499984740745262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24" xfId="0" applyFont="1" applyFill="1" applyBorder="1" applyAlignment="1">
      <alignment horizontal="center"/>
    </xf>
    <xf numFmtId="1" fontId="0" fillId="3" borderId="18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1" fontId="0" fillId="4" borderId="19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1" fontId="0" fillId="4" borderId="13" xfId="0" applyNumberForma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" fontId="0" fillId="3" borderId="19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3" xfId="0" applyNumberForma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1" fontId="0" fillId="4" borderId="20" xfId="0" applyNumberFormat="1" applyFill="1" applyBorder="1" applyAlignment="1">
      <alignment horizontal="center"/>
    </xf>
    <xf numFmtId="1" fontId="0" fillId="4" borderId="14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0" fillId="6" borderId="0" xfId="0" applyFill="1"/>
    <xf numFmtId="0" fontId="0" fillId="6" borderId="21" xfId="0" applyFill="1" applyBorder="1" applyAlignment="1">
      <alignment horizontal="center"/>
    </xf>
    <xf numFmtId="10" fontId="0" fillId="6" borderId="11" xfId="0" applyNumberFormat="1" applyFill="1" applyBorder="1" applyAlignment="1">
      <alignment horizontal="center"/>
    </xf>
    <xf numFmtId="164" fontId="0" fillId="6" borderId="11" xfId="0" applyNumberFormat="1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" fontId="0" fillId="0" borderId="0" xfId="0" applyNumberFormat="1"/>
    <xf numFmtId="0" fontId="0" fillId="7" borderId="0" xfId="0" applyFill="1"/>
    <xf numFmtId="0" fontId="0" fillId="7" borderId="0" xfId="0" applyFill="1" applyAlignment="1">
      <alignment vertical="top" wrapText="1"/>
    </xf>
    <xf numFmtId="0" fontId="0" fillId="7" borderId="0" xfId="0" applyFill="1" applyAlignment="1">
      <alignment vertical="center"/>
    </xf>
    <xf numFmtId="0" fontId="0" fillId="7" borderId="0" xfId="0" applyFill="1" applyAlignment="1">
      <alignment vertical="top"/>
    </xf>
    <xf numFmtId="0" fontId="12" fillId="7" borderId="0" xfId="0" applyFont="1" applyFill="1" applyAlignment="1">
      <alignment vertical="top"/>
    </xf>
    <xf numFmtId="0" fontId="8" fillId="7" borderId="0" xfId="0" applyFont="1" applyFill="1" applyAlignment="1">
      <alignment vertical="top" wrapText="1"/>
    </xf>
    <xf numFmtId="0" fontId="4" fillId="7" borderId="0" xfId="0" applyFont="1" applyFill="1" applyAlignment="1">
      <alignment vertical="top"/>
    </xf>
    <xf numFmtId="0" fontId="13" fillId="7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top" wrapText="1"/>
    </xf>
    <xf numFmtId="0" fontId="8" fillId="8" borderId="0" xfId="0" applyFont="1" applyFill="1" applyAlignment="1">
      <alignment horizontal="center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10" fontId="7" fillId="7" borderId="4" xfId="0" applyNumberFormat="1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9" fontId="7" fillId="7" borderId="4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164" fontId="7" fillId="7" borderId="4" xfId="0" applyNumberFormat="1" applyFont="1" applyFill="1" applyBorder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164" fontId="7" fillId="7" borderId="5" xfId="0" applyNumberFormat="1" applyFont="1" applyFill="1" applyBorder="1" applyAlignment="1">
      <alignment horizontal="center" vertical="center"/>
    </xf>
    <xf numFmtId="164" fontId="7" fillId="7" borderId="6" xfId="0" applyNumberFormat="1" applyFont="1" applyFill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164" fontId="7" fillId="7" borderId="8" xfId="0" applyNumberFormat="1" applyFont="1" applyFill="1" applyBorder="1" applyAlignment="1">
      <alignment horizontal="center" vertical="center"/>
    </xf>
    <xf numFmtId="1" fontId="7" fillId="7" borderId="4" xfId="0" applyNumberFormat="1" applyFont="1" applyFill="1" applyBorder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1" fontId="7" fillId="7" borderId="5" xfId="0" applyNumberFormat="1" applyFont="1" applyFill="1" applyBorder="1" applyAlignment="1">
      <alignment horizontal="center" vertical="center"/>
    </xf>
    <xf numFmtId="1" fontId="11" fillId="7" borderId="6" xfId="0" applyNumberFormat="1" applyFont="1" applyFill="1" applyBorder="1" applyAlignment="1">
      <alignment horizontal="center" vertical="center" wrapText="1"/>
    </xf>
    <xf numFmtId="1" fontId="11" fillId="7" borderId="7" xfId="0" applyNumberFormat="1" applyFont="1" applyFill="1" applyBorder="1" applyAlignment="1">
      <alignment horizontal="center" vertical="center" wrapText="1"/>
    </xf>
    <xf numFmtId="1" fontId="11" fillId="7" borderId="8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0" fontId="8" fillId="7" borderId="0" xfId="0" applyFont="1" applyFill="1" applyAlignment="1">
      <alignment horizontal="center" wrapText="1"/>
    </xf>
    <xf numFmtId="0" fontId="8" fillId="7" borderId="5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2" fontId="0" fillId="6" borderId="4" xfId="0" applyNumberFormat="1" applyFill="1" applyBorder="1" applyAlignment="1">
      <alignment horizontal="center" vertical="center"/>
    </xf>
    <xf numFmtId="2" fontId="0" fillId="6" borderId="5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2" fontId="0" fillId="6" borderId="6" xfId="1" applyNumberFormat="1" applyFont="1" applyFill="1" applyBorder="1" applyAlignment="1">
      <alignment horizontal="center"/>
    </xf>
    <xf numFmtId="2" fontId="0" fillId="6" borderId="8" xfId="1" applyNumberFormat="1" applyFont="1" applyFill="1" applyBorder="1" applyAlignment="1">
      <alignment horizontal="center"/>
    </xf>
    <xf numFmtId="10" fontId="0" fillId="6" borderId="4" xfId="0" applyNumberFormat="1" applyFill="1" applyBorder="1" applyAlignment="1">
      <alignment horizontal="center" vertical="center"/>
    </xf>
    <xf numFmtId="10" fontId="0" fillId="6" borderId="5" xfId="0" applyNumberFormat="1" applyFill="1" applyBorder="1" applyAlignment="1">
      <alignment horizontal="center" vertical="center"/>
    </xf>
    <xf numFmtId="10" fontId="0" fillId="6" borderId="6" xfId="0" applyNumberFormat="1" applyFill="1" applyBorder="1" applyAlignment="1">
      <alignment horizontal="center" vertical="center"/>
    </xf>
    <xf numFmtId="10" fontId="0" fillId="6" borderId="8" xfId="0" applyNumberFormat="1" applyFill="1" applyBorder="1" applyAlignment="1">
      <alignment horizontal="center" vertical="center"/>
    </xf>
    <xf numFmtId="9" fontId="0" fillId="6" borderId="6" xfId="1" applyFont="1" applyFill="1" applyBorder="1" applyAlignment="1">
      <alignment horizontal="center"/>
    </xf>
    <xf numFmtId="9" fontId="0" fillId="6" borderId="8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7" fillId="7" borderId="4" xfId="0" applyNumberFormat="1" applyFont="1" applyFill="1" applyBorder="1" applyAlignment="1">
      <alignment horizontal="center" vertical="center" wrapText="1"/>
    </xf>
    <xf numFmtId="0" fontId="7" fillId="7" borderId="0" xfId="0" applyNumberFormat="1" applyFont="1" applyFill="1" applyAlignment="1">
      <alignment horizontal="center" vertical="center" wrapText="1"/>
    </xf>
    <xf numFmtId="0" fontId="7" fillId="7" borderId="5" xfId="0" applyNumberFormat="1" applyFont="1" applyFill="1" applyBorder="1" applyAlignment="1">
      <alignment horizontal="center" vertical="center" wrapText="1"/>
    </xf>
    <xf numFmtId="0" fontId="7" fillId="7" borderId="6" xfId="0" applyNumberFormat="1" applyFont="1" applyFill="1" applyBorder="1" applyAlignment="1">
      <alignment horizontal="center" vertical="center" wrapText="1"/>
    </xf>
    <xf numFmtId="0" fontId="7" fillId="7" borderId="7" xfId="0" applyNumberFormat="1" applyFont="1" applyFill="1" applyBorder="1" applyAlignment="1">
      <alignment horizontal="center" vertical="center" wrapText="1"/>
    </xf>
    <xf numFmtId="0" fontId="7" fillId="7" borderId="8" xfId="0" applyNumberFormat="1" applyFont="1" applyFill="1" applyBorder="1" applyAlignment="1">
      <alignment horizontal="center" vertical="center" wrapText="1"/>
    </xf>
  </cellXfs>
  <cellStyles count="2">
    <cellStyle name="Normalny" xfId="0" builtinId="0"/>
    <cellStyle name="Procentowy" xfId="1" builtinId="5"/>
  </cellStyles>
  <dxfs count="9">
    <dxf>
      <numFmt numFmtId="1" formatCode="0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100">
                <a:solidFill>
                  <a:schemeClr val="tx1">
                    <a:lumMod val="75000"/>
                    <a:lumOff val="25000"/>
                  </a:schemeClr>
                </a:solidFill>
              </a:rPr>
              <a:t>Średnia liczba nietrzeźwych Kierowców </a:t>
            </a:r>
          </a:p>
        </c:rich>
      </c:tx>
      <c:layout>
        <c:manualLayout>
          <c:xMode val="edge"/>
          <c:yMode val="edge"/>
          <c:x val="0.1042024202420242"/>
          <c:y val="5.0918123039498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669609261677803"/>
          <c:y val="0.37261788617886177"/>
          <c:w val="0.78715699078564938"/>
          <c:h val="0.45750720184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WykresyKPI!$K$37</c:f>
              <c:strCache>
                <c:ptCount val="1"/>
                <c:pt idx="0">
                  <c:v>Średnia nietrzeźwych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WykresyKPI!$J$38:$J$39</c:f>
              <c:strCache>
                <c:ptCount val="2"/>
                <c:pt idx="0">
                  <c:v>Weekend</c:v>
                </c:pt>
                <c:pt idx="1">
                  <c:v>Dni robocze</c:v>
                </c:pt>
              </c:strCache>
            </c:strRef>
          </c:cat>
          <c:val>
            <c:numRef>
              <c:f>WykresyKPI!$K$38:$K$39</c:f>
              <c:numCache>
                <c:formatCode>0</c:formatCode>
                <c:ptCount val="2"/>
                <c:pt idx="0">
                  <c:v>293.41509433962267</c:v>
                </c:pt>
                <c:pt idx="1">
                  <c:v>249.44061302681993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A-4CFE-8D26-2C2D7A074C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03520120"/>
        <c:axId val="503517600"/>
      </c:barChart>
      <c:catAx>
        <c:axId val="50352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3517600"/>
        <c:crosses val="autoZero"/>
        <c:auto val="1"/>
        <c:lblAlgn val="ctr"/>
        <c:lblOffset val="100"/>
        <c:noMultiLvlLbl val="0"/>
      </c:catAx>
      <c:valAx>
        <c:axId val="503517600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3520120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cap="all" spc="15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Struktura zatrzymań</a:t>
            </a:r>
          </a:p>
        </c:rich>
      </c:tx>
      <c:layout>
        <c:manualLayout>
          <c:xMode val="edge"/>
          <c:yMode val="edge"/>
          <c:x val="0.18514544540160899"/>
          <c:y val="8.5840226693763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cap="all" spc="15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5775538974658735"/>
          <c:y val="0.34277946231287915"/>
          <c:w val="0.4211822867119776"/>
          <c:h val="0.52418907346659893"/>
        </c:manualLayout>
      </c:layout>
      <c:doughnutChart>
        <c:varyColors val="1"/>
        <c:ser>
          <c:idx val="0"/>
          <c:order val="0"/>
          <c:tx>
            <c:strRef>
              <c:f>WykresyKPI!$G$37</c:f>
              <c:strCache>
                <c:ptCount val="1"/>
                <c:pt idx="0">
                  <c:v>Liczba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E3E-4FE4-82F4-76341EFB618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E3E-4FE4-82F4-76341EFB6182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3E-4FE4-82F4-76341EFB6182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3E-4FE4-82F4-76341EFB61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WykresyKPI!$F$38:$F$39</c:f>
              <c:strCache>
                <c:ptCount val="2"/>
                <c:pt idx="0">
                  <c:v>Na gorącym uczynku</c:v>
                </c:pt>
                <c:pt idx="1">
                  <c:v>Poszukiwani</c:v>
                </c:pt>
              </c:strCache>
            </c:strRef>
          </c:cat>
          <c:val>
            <c:numRef>
              <c:f>WykresyKPI!$G$38:$G$39</c:f>
              <c:numCache>
                <c:formatCode>General</c:formatCode>
                <c:ptCount val="2"/>
                <c:pt idx="0">
                  <c:v>201081</c:v>
                </c:pt>
                <c:pt idx="1">
                  <c:v>134175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E-4FE4-82F4-76341EFB6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solidFill>
          <a:schemeClr val="bg2">
            <a:lumMod val="75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194409104975415"/>
          <c:y val="0.21984966138387793"/>
          <c:w val="0.74496020278242581"/>
          <c:h val="0.11574148831778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bg2">
              <a:lumMod val="25000"/>
            </a:schemeClr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200" b="1">
                <a:solidFill>
                  <a:schemeClr val="bg2">
                    <a:lumMod val="25000"/>
                  </a:schemeClr>
                </a:solidFill>
              </a:rPr>
              <a:t>Liczba interwencji vs % Skutecznych zatrzymań</a:t>
            </a:r>
          </a:p>
        </c:rich>
      </c:tx>
      <c:layout>
        <c:manualLayout>
          <c:xMode val="edge"/>
          <c:yMode val="edge"/>
          <c:x val="0.19891353971633025"/>
          <c:y val="5.6597890437759618E-2"/>
        </c:manualLayout>
      </c:layout>
      <c:overlay val="0"/>
      <c:spPr>
        <a:solidFill>
          <a:schemeClr val="bg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DanePolicja!$H$2:$H$368</c:f>
              <c:numCache>
                <c:formatCode>General</c:formatCode>
                <c:ptCount val="367"/>
                <c:pt idx="0">
                  <c:v>16235</c:v>
                </c:pt>
                <c:pt idx="1">
                  <c:v>14338</c:v>
                </c:pt>
                <c:pt idx="2">
                  <c:v>16697</c:v>
                </c:pt>
                <c:pt idx="3">
                  <c:v>17506</c:v>
                </c:pt>
                <c:pt idx="4">
                  <c:v>15830</c:v>
                </c:pt>
                <c:pt idx="5">
                  <c:v>15716</c:v>
                </c:pt>
                <c:pt idx="6">
                  <c:v>15395</c:v>
                </c:pt>
                <c:pt idx="7">
                  <c:v>15421</c:v>
                </c:pt>
                <c:pt idx="8">
                  <c:v>13749</c:v>
                </c:pt>
                <c:pt idx="9">
                  <c:v>15768</c:v>
                </c:pt>
                <c:pt idx="10">
                  <c:v>16589</c:v>
                </c:pt>
                <c:pt idx="11">
                  <c:v>16209</c:v>
                </c:pt>
                <c:pt idx="12">
                  <c:v>15528</c:v>
                </c:pt>
                <c:pt idx="13">
                  <c:v>15372</c:v>
                </c:pt>
                <c:pt idx="14">
                  <c:v>15079</c:v>
                </c:pt>
                <c:pt idx="15">
                  <c:v>14087</c:v>
                </c:pt>
                <c:pt idx="16">
                  <c:v>16363</c:v>
                </c:pt>
                <c:pt idx="17">
                  <c:v>16956</c:v>
                </c:pt>
                <c:pt idx="18">
                  <c:v>15262</c:v>
                </c:pt>
                <c:pt idx="19">
                  <c:v>15360</c:v>
                </c:pt>
                <c:pt idx="20">
                  <c:v>15643</c:v>
                </c:pt>
                <c:pt idx="21">
                  <c:v>15917</c:v>
                </c:pt>
                <c:pt idx="22">
                  <c:v>13125</c:v>
                </c:pt>
                <c:pt idx="23">
                  <c:v>16140</c:v>
                </c:pt>
                <c:pt idx="24">
                  <c:v>16673</c:v>
                </c:pt>
                <c:pt idx="25">
                  <c:v>15466</c:v>
                </c:pt>
                <c:pt idx="26">
                  <c:v>15699</c:v>
                </c:pt>
                <c:pt idx="27">
                  <c:v>12934</c:v>
                </c:pt>
                <c:pt idx="28">
                  <c:v>16203</c:v>
                </c:pt>
                <c:pt idx="29">
                  <c:v>13521</c:v>
                </c:pt>
                <c:pt idx="30">
                  <c:v>16895</c:v>
                </c:pt>
                <c:pt idx="31">
                  <c:v>17959</c:v>
                </c:pt>
                <c:pt idx="32">
                  <c:v>16015</c:v>
                </c:pt>
                <c:pt idx="33">
                  <c:v>16018</c:v>
                </c:pt>
                <c:pt idx="34">
                  <c:v>16269</c:v>
                </c:pt>
                <c:pt idx="35">
                  <c:v>15374</c:v>
                </c:pt>
                <c:pt idx="36">
                  <c:v>13601</c:v>
                </c:pt>
                <c:pt idx="37">
                  <c:v>15985</c:v>
                </c:pt>
                <c:pt idx="38">
                  <c:v>21130</c:v>
                </c:pt>
                <c:pt idx="39">
                  <c:v>17070</c:v>
                </c:pt>
                <c:pt idx="40">
                  <c:v>16496</c:v>
                </c:pt>
                <c:pt idx="41">
                  <c:v>15715</c:v>
                </c:pt>
                <c:pt idx="42">
                  <c:v>15858</c:v>
                </c:pt>
                <c:pt idx="43">
                  <c:v>13779</c:v>
                </c:pt>
                <c:pt idx="44">
                  <c:v>16565</c:v>
                </c:pt>
                <c:pt idx="45">
                  <c:v>16968</c:v>
                </c:pt>
                <c:pt idx="46">
                  <c:v>16718</c:v>
                </c:pt>
                <c:pt idx="47">
                  <c:v>16172</c:v>
                </c:pt>
                <c:pt idx="48">
                  <c:v>15560</c:v>
                </c:pt>
                <c:pt idx="49">
                  <c:v>16005</c:v>
                </c:pt>
                <c:pt idx="50">
                  <c:v>13668</c:v>
                </c:pt>
                <c:pt idx="51">
                  <c:v>15605</c:v>
                </c:pt>
                <c:pt idx="52">
                  <c:v>17285</c:v>
                </c:pt>
                <c:pt idx="53">
                  <c:v>15786</c:v>
                </c:pt>
                <c:pt idx="54">
                  <c:v>16349</c:v>
                </c:pt>
                <c:pt idx="55">
                  <c:v>14779</c:v>
                </c:pt>
                <c:pt idx="56">
                  <c:v>15808</c:v>
                </c:pt>
                <c:pt idx="57">
                  <c:v>13796</c:v>
                </c:pt>
                <c:pt idx="58">
                  <c:v>16534</c:v>
                </c:pt>
                <c:pt idx="59">
                  <c:v>17553</c:v>
                </c:pt>
                <c:pt idx="60">
                  <c:v>16148</c:v>
                </c:pt>
                <c:pt idx="61">
                  <c:v>15705</c:v>
                </c:pt>
                <c:pt idx="62">
                  <c:v>15217</c:v>
                </c:pt>
                <c:pt idx="63">
                  <c:v>15005</c:v>
                </c:pt>
                <c:pt idx="64">
                  <c:v>12802</c:v>
                </c:pt>
                <c:pt idx="65">
                  <c:v>15449</c:v>
                </c:pt>
                <c:pt idx="66">
                  <c:v>16745</c:v>
                </c:pt>
                <c:pt idx="67">
                  <c:v>15468</c:v>
                </c:pt>
                <c:pt idx="68">
                  <c:v>15077</c:v>
                </c:pt>
                <c:pt idx="69">
                  <c:v>13676</c:v>
                </c:pt>
                <c:pt idx="70">
                  <c:v>14702</c:v>
                </c:pt>
                <c:pt idx="71">
                  <c:v>13084</c:v>
                </c:pt>
                <c:pt idx="72">
                  <c:v>16373</c:v>
                </c:pt>
                <c:pt idx="73">
                  <c:v>16168</c:v>
                </c:pt>
                <c:pt idx="74">
                  <c:v>14922</c:v>
                </c:pt>
                <c:pt idx="75">
                  <c:v>14975</c:v>
                </c:pt>
                <c:pt idx="76">
                  <c:v>14995</c:v>
                </c:pt>
                <c:pt idx="77">
                  <c:v>16069</c:v>
                </c:pt>
                <c:pt idx="78">
                  <c:v>16269</c:v>
                </c:pt>
                <c:pt idx="79">
                  <c:v>16676</c:v>
                </c:pt>
                <c:pt idx="80">
                  <c:v>17423</c:v>
                </c:pt>
                <c:pt idx="81">
                  <c:v>15813</c:v>
                </c:pt>
                <c:pt idx="82">
                  <c:v>14940</c:v>
                </c:pt>
                <c:pt idx="83">
                  <c:v>15031</c:v>
                </c:pt>
                <c:pt idx="84">
                  <c:v>15522</c:v>
                </c:pt>
                <c:pt idx="85">
                  <c:v>13757</c:v>
                </c:pt>
                <c:pt idx="86">
                  <c:v>17461</c:v>
                </c:pt>
                <c:pt idx="87">
                  <c:v>18277</c:v>
                </c:pt>
                <c:pt idx="88">
                  <c:v>16052</c:v>
                </c:pt>
                <c:pt idx="89">
                  <c:v>16648</c:v>
                </c:pt>
                <c:pt idx="90">
                  <c:v>15912</c:v>
                </c:pt>
                <c:pt idx="91">
                  <c:v>15920</c:v>
                </c:pt>
                <c:pt idx="92">
                  <c:v>14848</c:v>
                </c:pt>
                <c:pt idx="93">
                  <c:v>17483</c:v>
                </c:pt>
                <c:pt idx="94">
                  <c:v>18669</c:v>
                </c:pt>
                <c:pt idx="95">
                  <c:v>16742</c:v>
                </c:pt>
                <c:pt idx="96">
                  <c:v>16321</c:v>
                </c:pt>
                <c:pt idx="97">
                  <c:v>16710</c:v>
                </c:pt>
                <c:pt idx="98">
                  <c:v>16679</c:v>
                </c:pt>
                <c:pt idx="99">
                  <c:v>16762</c:v>
                </c:pt>
                <c:pt idx="100">
                  <c:v>18664</c:v>
                </c:pt>
                <c:pt idx="101">
                  <c:v>18006</c:v>
                </c:pt>
                <c:pt idx="102">
                  <c:v>16583</c:v>
                </c:pt>
                <c:pt idx="103">
                  <c:v>15281</c:v>
                </c:pt>
                <c:pt idx="104">
                  <c:v>15460</c:v>
                </c:pt>
                <c:pt idx="105">
                  <c:v>14729</c:v>
                </c:pt>
                <c:pt idx="106">
                  <c:v>13014</c:v>
                </c:pt>
                <c:pt idx="107">
                  <c:v>15419</c:v>
                </c:pt>
                <c:pt idx="108">
                  <c:v>16515</c:v>
                </c:pt>
                <c:pt idx="109">
                  <c:v>16439</c:v>
                </c:pt>
                <c:pt idx="110">
                  <c:v>16418</c:v>
                </c:pt>
                <c:pt idx="111">
                  <c:v>16235</c:v>
                </c:pt>
                <c:pt idx="112">
                  <c:v>16482</c:v>
                </c:pt>
                <c:pt idx="113">
                  <c:v>16179</c:v>
                </c:pt>
                <c:pt idx="114">
                  <c:v>19030</c:v>
                </c:pt>
                <c:pt idx="115">
                  <c:v>18001</c:v>
                </c:pt>
                <c:pt idx="116">
                  <c:v>19330</c:v>
                </c:pt>
                <c:pt idx="117">
                  <c:v>17151</c:v>
                </c:pt>
                <c:pt idx="118">
                  <c:v>16906</c:v>
                </c:pt>
                <c:pt idx="119">
                  <c:v>16667</c:v>
                </c:pt>
                <c:pt idx="120">
                  <c:v>15964</c:v>
                </c:pt>
                <c:pt idx="121">
                  <c:v>18858</c:v>
                </c:pt>
                <c:pt idx="122">
                  <c:v>17525</c:v>
                </c:pt>
                <c:pt idx="123">
                  <c:v>16071</c:v>
                </c:pt>
                <c:pt idx="124">
                  <c:v>15254</c:v>
                </c:pt>
                <c:pt idx="125">
                  <c:v>15374</c:v>
                </c:pt>
                <c:pt idx="126">
                  <c:v>15597</c:v>
                </c:pt>
                <c:pt idx="127">
                  <c:v>15008</c:v>
                </c:pt>
                <c:pt idx="128">
                  <c:v>17935</c:v>
                </c:pt>
                <c:pt idx="129">
                  <c:v>16677</c:v>
                </c:pt>
                <c:pt idx="130">
                  <c:v>16414</c:v>
                </c:pt>
                <c:pt idx="131">
                  <c:v>16561</c:v>
                </c:pt>
                <c:pt idx="132">
                  <c:v>16385</c:v>
                </c:pt>
                <c:pt idx="133">
                  <c:v>15698</c:v>
                </c:pt>
                <c:pt idx="134">
                  <c:v>16037</c:v>
                </c:pt>
                <c:pt idx="135">
                  <c:v>18388</c:v>
                </c:pt>
                <c:pt idx="136">
                  <c:v>18421</c:v>
                </c:pt>
                <c:pt idx="137">
                  <c:v>17014</c:v>
                </c:pt>
                <c:pt idx="138">
                  <c:v>16544</c:v>
                </c:pt>
                <c:pt idx="139">
                  <c:v>16659</c:v>
                </c:pt>
                <c:pt idx="140">
                  <c:v>17325</c:v>
                </c:pt>
                <c:pt idx="141">
                  <c:v>16633</c:v>
                </c:pt>
                <c:pt idx="142">
                  <c:v>18884</c:v>
                </c:pt>
                <c:pt idx="143">
                  <c:v>17659</c:v>
                </c:pt>
                <c:pt idx="144">
                  <c:v>16039</c:v>
                </c:pt>
                <c:pt idx="145">
                  <c:v>16121</c:v>
                </c:pt>
                <c:pt idx="146">
                  <c:v>16693</c:v>
                </c:pt>
                <c:pt idx="147">
                  <c:v>16961</c:v>
                </c:pt>
                <c:pt idx="148">
                  <c:v>15231</c:v>
                </c:pt>
                <c:pt idx="149">
                  <c:v>17171</c:v>
                </c:pt>
                <c:pt idx="150">
                  <c:v>17020</c:v>
                </c:pt>
                <c:pt idx="151">
                  <c:v>15884</c:v>
                </c:pt>
                <c:pt idx="152">
                  <c:v>15161</c:v>
                </c:pt>
                <c:pt idx="153">
                  <c:v>15679</c:v>
                </c:pt>
                <c:pt idx="154">
                  <c:v>16819</c:v>
                </c:pt>
                <c:pt idx="155">
                  <c:v>17000</c:v>
                </c:pt>
                <c:pt idx="156">
                  <c:v>18356</c:v>
                </c:pt>
                <c:pt idx="157">
                  <c:v>17782</c:v>
                </c:pt>
                <c:pt idx="158">
                  <c:v>17446</c:v>
                </c:pt>
                <c:pt idx="159">
                  <c:v>17530</c:v>
                </c:pt>
                <c:pt idx="160">
                  <c:v>17113</c:v>
                </c:pt>
                <c:pt idx="161">
                  <c:v>16932</c:v>
                </c:pt>
                <c:pt idx="162">
                  <c:v>17157</c:v>
                </c:pt>
                <c:pt idx="163">
                  <c:v>19015</c:v>
                </c:pt>
                <c:pt idx="164">
                  <c:v>18575</c:v>
                </c:pt>
                <c:pt idx="165">
                  <c:v>17400</c:v>
                </c:pt>
                <c:pt idx="166">
                  <c:v>16351</c:v>
                </c:pt>
                <c:pt idx="167">
                  <c:v>16002</c:v>
                </c:pt>
                <c:pt idx="168">
                  <c:v>17094</c:v>
                </c:pt>
                <c:pt idx="169">
                  <c:v>15767</c:v>
                </c:pt>
                <c:pt idx="170">
                  <c:v>17237</c:v>
                </c:pt>
                <c:pt idx="171">
                  <c:v>17430</c:v>
                </c:pt>
                <c:pt idx="172">
                  <c:v>15023</c:v>
                </c:pt>
                <c:pt idx="173">
                  <c:v>17983</c:v>
                </c:pt>
                <c:pt idx="174">
                  <c:v>16560</c:v>
                </c:pt>
                <c:pt idx="175">
                  <c:v>15999</c:v>
                </c:pt>
                <c:pt idx="176">
                  <c:v>15997</c:v>
                </c:pt>
                <c:pt idx="177">
                  <c:v>17739</c:v>
                </c:pt>
                <c:pt idx="178">
                  <c:v>17711</c:v>
                </c:pt>
                <c:pt idx="179">
                  <c:v>16286</c:v>
                </c:pt>
                <c:pt idx="180">
                  <c:v>14847</c:v>
                </c:pt>
                <c:pt idx="181">
                  <c:v>15284</c:v>
                </c:pt>
                <c:pt idx="182">
                  <c:v>14852</c:v>
                </c:pt>
                <c:pt idx="183">
                  <c:v>13512</c:v>
                </c:pt>
                <c:pt idx="184">
                  <c:v>17108</c:v>
                </c:pt>
                <c:pt idx="185">
                  <c:v>18579</c:v>
                </c:pt>
                <c:pt idx="186">
                  <c:v>17048</c:v>
                </c:pt>
                <c:pt idx="187">
                  <c:v>17127</c:v>
                </c:pt>
                <c:pt idx="188">
                  <c:v>16683</c:v>
                </c:pt>
                <c:pt idx="189">
                  <c:v>16668</c:v>
                </c:pt>
                <c:pt idx="190">
                  <c:v>18083</c:v>
                </c:pt>
                <c:pt idx="191">
                  <c:v>18363</c:v>
                </c:pt>
                <c:pt idx="192">
                  <c:v>17435</c:v>
                </c:pt>
                <c:pt idx="193">
                  <c:v>15531</c:v>
                </c:pt>
                <c:pt idx="194">
                  <c:v>15774</c:v>
                </c:pt>
                <c:pt idx="195">
                  <c:v>16361</c:v>
                </c:pt>
                <c:pt idx="196">
                  <c:v>15704</c:v>
                </c:pt>
                <c:pt idx="197">
                  <c:v>14363</c:v>
                </c:pt>
                <c:pt idx="198">
                  <c:v>16838</c:v>
                </c:pt>
                <c:pt idx="199">
                  <c:v>16999</c:v>
                </c:pt>
                <c:pt idx="200">
                  <c:v>16139</c:v>
                </c:pt>
                <c:pt idx="201">
                  <c:v>16407</c:v>
                </c:pt>
                <c:pt idx="202">
                  <c:v>16262</c:v>
                </c:pt>
                <c:pt idx="203">
                  <c:v>14882</c:v>
                </c:pt>
                <c:pt idx="204">
                  <c:v>14256</c:v>
                </c:pt>
                <c:pt idx="205">
                  <c:v>15515</c:v>
                </c:pt>
                <c:pt idx="206">
                  <c:v>15799</c:v>
                </c:pt>
                <c:pt idx="207">
                  <c:v>15400</c:v>
                </c:pt>
                <c:pt idx="208">
                  <c:v>15443</c:v>
                </c:pt>
                <c:pt idx="209">
                  <c:v>15284</c:v>
                </c:pt>
                <c:pt idx="210">
                  <c:v>15899</c:v>
                </c:pt>
                <c:pt idx="211">
                  <c:v>13436</c:v>
                </c:pt>
                <c:pt idx="212">
                  <c:v>15984</c:v>
                </c:pt>
                <c:pt idx="213">
                  <c:v>16596</c:v>
                </c:pt>
                <c:pt idx="214">
                  <c:v>15359</c:v>
                </c:pt>
                <c:pt idx="215">
                  <c:v>14965</c:v>
                </c:pt>
                <c:pt idx="216">
                  <c:v>14804</c:v>
                </c:pt>
                <c:pt idx="217">
                  <c:v>14858</c:v>
                </c:pt>
                <c:pt idx="218">
                  <c:v>12876</c:v>
                </c:pt>
                <c:pt idx="219">
                  <c:v>15383</c:v>
                </c:pt>
                <c:pt idx="220">
                  <c:v>17498</c:v>
                </c:pt>
                <c:pt idx="221">
                  <c:v>15911</c:v>
                </c:pt>
                <c:pt idx="222">
                  <c:v>17970</c:v>
                </c:pt>
                <c:pt idx="223">
                  <c:v>15104</c:v>
                </c:pt>
                <c:pt idx="224">
                  <c:v>15846</c:v>
                </c:pt>
                <c:pt idx="225">
                  <c:v>13863</c:v>
                </c:pt>
                <c:pt idx="226">
                  <c:v>16036</c:v>
                </c:pt>
                <c:pt idx="227">
                  <c:v>16661</c:v>
                </c:pt>
                <c:pt idx="228">
                  <c:v>16159</c:v>
                </c:pt>
                <c:pt idx="229">
                  <c:v>16424</c:v>
                </c:pt>
                <c:pt idx="230">
                  <c:v>17036</c:v>
                </c:pt>
                <c:pt idx="231">
                  <c:v>14820</c:v>
                </c:pt>
                <c:pt idx="232">
                  <c:v>14677</c:v>
                </c:pt>
                <c:pt idx="233">
                  <c:v>17338</c:v>
                </c:pt>
                <c:pt idx="234">
                  <c:v>20180</c:v>
                </c:pt>
                <c:pt idx="235">
                  <c:v>19072</c:v>
                </c:pt>
                <c:pt idx="236">
                  <c:v>18187</c:v>
                </c:pt>
                <c:pt idx="237">
                  <c:v>16464</c:v>
                </c:pt>
                <c:pt idx="238">
                  <c:v>17465</c:v>
                </c:pt>
                <c:pt idx="239">
                  <c:v>16025</c:v>
                </c:pt>
                <c:pt idx="240">
                  <c:v>17268</c:v>
                </c:pt>
                <c:pt idx="241">
                  <c:v>16358</c:v>
                </c:pt>
                <c:pt idx="242">
                  <c:v>15421</c:v>
                </c:pt>
                <c:pt idx="243">
                  <c:v>15966</c:v>
                </c:pt>
                <c:pt idx="244">
                  <c:v>15032</c:v>
                </c:pt>
                <c:pt idx="245">
                  <c:v>14786</c:v>
                </c:pt>
                <c:pt idx="246">
                  <c:v>11595</c:v>
                </c:pt>
                <c:pt idx="247">
                  <c:v>15960</c:v>
                </c:pt>
                <c:pt idx="248">
                  <c:v>18267</c:v>
                </c:pt>
                <c:pt idx="249">
                  <c:v>16656</c:v>
                </c:pt>
                <c:pt idx="250">
                  <c:v>15894</c:v>
                </c:pt>
                <c:pt idx="251">
                  <c:v>15362</c:v>
                </c:pt>
                <c:pt idx="252">
                  <c:v>15040</c:v>
                </c:pt>
                <c:pt idx="253">
                  <c:v>12916</c:v>
                </c:pt>
                <c:pt idx="254">
                  <c:v>17056</c:v>
                </c:pt>
                <c:pt idx="255">
                  <c:v>17548</c:v>
                </c:pt>
                <c:pt idx="256">
                  <c:v>15587</c:v>
                </c:pt>
                <c:pt idx="257">
                  <c:v>15586</c:v>
                </c:pt>
                <c:pt idx="258">
                  <c:v>15543</c:v>
                </c:pt>
                <c:pt idx="259">
                  <c:v>15096</c:v>
                </c:pt>
                <c:pt idx="260">
                  <c:v>12897</c:v>
                </c:pt>
                <c:pt idx="261">
                  <c:v>16721</c:v>
                </c:pt>
                <c:pt idx="262">
                  <c:v>17860</c:v>
                </c:pt>
                <c:pt idx="263">
                  <c:v>16144</c:v>
                </c:pt>
                <c:pt idx="264">
                  <c:v>15159</c:v>
                </c:pt>
                <c:pt idx="265">
                  <c:v>15299</c:v>
                </c:pt>
                <c:pt idx="266">
                  <c:v>14571</c:v>
                </c:pt>
                <c:pt idx="267">
                  <c:v>12910</c:v>
                </c:pt>
                <c:pt idx="268">
                  <c:v>15396</c:v>
                </c:pt>
                <c:pt idx="269">
                  <c:v>15845</c:v>
                </c:pt>
                <c:pt idx="270">
                  <c:v>14922</c:v>
                </c:pt>
                <c:pt idx="271">
                  <c:v>15695</c:v>
                </c:pt>
                <c:pt idx="272">
                  <c:v>15695</c:v>
                </c:pt>
                <c:pt idx="273">
                  <c:v>16333</c:v>
                </c:pt>
                <c:pt idx="274">
                  <c:v>14273</c:v>
                </c:pt>
                <c:pt idx="275">
                  <c:v>17757</c:v>
                </c:pt>
                <c:pt idx="276">
                  <c:v>17439</c:v>
                </c:pt>
                <c:pt idx="277">
                  <c:v>15950</c:v>
                </c:pt>
                <c:pt idx="278">
                  <c:v>15375</c:v>
                </c:pt>
                <c:pt idx="279">
                  <c:v>15128</c:v>
                </c:pt>
                <c:pt idx="280">
                  <c:v>14670</c:v>
                </c:pt>
                <c:pt idx="281">
                  <c:v>11969</c:v>
                </c:pt>
                <c:pt idx="282">
                  <c:v>14790</c:v>
                </c:pt>
                <c:pt idx="283">
                  <c:v>16228</c:v>
                </c:pt>
                <c:pt idx="284">
                  <c:v>15003</c:v>
                </c:pt>
                <c:pt idx="285">
                  <c:v>15066</c:v>
                </c:pt>
                <c:pt idx="286">
                  <c:v>14837</c:v>
                </c:pt>
                <c:pt idx="287">
                  <c:v>14889</c:v>
                </c:pt>
                <c:pt idx="288">
                  <c:v>12662</c:v>
                </c:pt>
                <c:pt idx="289">
                  <c:v>15305</c:v>
                </c:pt>
                <c:pt idx="290">
                  <c:v>15582</c:v>
                </c:pt>
                <c:pt idx="291">
                  <c:v>14530</c:v>
                </c:pt>
                <c:pt idx="292">
                  <c:v>14718</c:v>
                </c:pt>
                <c:pt idx="293">
                  <c:v>14025</c:v>
                </c:pt>
                <c:pt idx="294">
                  <c:v>14101</c:v>
                </c:pt>
                <c:pt idx="295">
                  <c:v>11771</c:v>
                </c:pt>
                <c:pt idx="296">
                  <c:v>14558</c:v>
                </c:pt>
                <c:pt idx="297">
                  <c:v>15996</c:v>
                </c:pt>
                <c:pt idx="298">
                  <c:v>15104</c:v>
                </c:pt>
                <c:pt idx="299">
                  <c:v>13892</c:v>
                </c:pt>
                <c:pt idx="300">
                  <c:v>14031</c:v>
                </c:pt>
                <c:pt idx="301">
                  <c:v>14078</c:v>
                </c:pt>
                <c:pt idx="302">
                  <c:v>11640</c:v>
                </c:pt>
                <c:pt idx="303">
                  <c:v>14563</c:v>
                </c:pt>
                <c:pt idx="304">
                  <c:v>14692</c:v>
                </c:pt>
                <c:pt idx="305">
                  <c:v>13764</c:v>
                </c:pt>
                <c:pt idx="306">
                  <c:v>14347</c:v>
                </c:pt>
                <c:pt idx="307">
                  <c:v>14210</c:v>
                </c:pt>
                <c:pt idx="308">
                  <c:v>13707</c:v>
                </c:pt>
                <c:pt idx="309">
                  <c:v>11602</c:v>
                </c:pt>
                <c:pt idx="310">
                  <c:v>14540</c:v>
                </c:pt>
                <c:pt idx="311">
                  <c:v>15461</c:v>
                </c:pt>
                <c:pt idx="312">
                  <c:v>14886</c:v>
                </c:pt>
                <c:pt idx="313">
                  <c:v>14230</c:v>
                </c:pt>
                <c:pt idx="314">
                  <c:v>14556</c:v>
                </c:pt>
                <c:pt idx="315">
                  <c:v>14326</c:v>
                </c:pt>
                <c:pt idx="316">
                  <c:v>13406</c:v>
                </c:pt>
                <c:pt idx="317">
                  <c:v>14696</c:v>
                </c:pt>
                <c:pt idx="318">
                  <c:v>15731</c:v>
                </c:pt>
                <c:pt idx="319">
                  <c:v>13998</c:v>
                </c:pt>
                <c:pt idx="320">
                  <c:v>14243</c:v>
                </c:pt>
                <c:pt idx="321">
                  <c:v>13099</c:v>
                </c:pt>
                <c:pt idx="322">
                  <c:v>14378</c:v>
                </c:pt>
                <c:pt idx="323">
                  <c:v>11794</c:v>
                </c:pt>
                <c:pt idx="324">
                  <c:v>14755</c:v>
                </c:pt>
                <c:pt idx="325">
                  <c:v>15641</c:v>
                </c:pt>
                <c:pt idx="326">
                  <c:v>14558</c:v>
                </c:pt>
                <c:pt idx="327">
                  <c:v>13937</c:v>
                </c:pt>
                <c:pt idx="328">
                  <c:v>13442</c:v>
                </c:pt>
                <c:pt idx="329">
                  <c:v>13379</c:v>
                </c:pt>
                <c:pt idx="330">
                  <c:v>11315</c:v>
                </c:pt>
                <c:pt idx="331">
                  <c:v>14223</c:v>
                </c:pt>
                <c:pt idx="332">
                  <c:v>15518</c:v>
                </c:pt>
                <c:pt idx="333">
                  <c:v>13718</c:v>
                </c:pt>
                <c:pt idx="334">
                  <c:v>14198</c:v>
                </c:pt>
                <c:pt idx="335">
                  <c:v>13840</c:v>
                </c:pt>
                <c:pt idx="336">
                  <c:v>9777</c:v>
                </c:pt>
                <c:pt idx="337">
                  <c:v>10803</c:v>
                </c:pt>
                <c:pt idx="338">
                  <c:v>13076</c:v>
                </c:pt>
                <c:pt idx="339">
                  <c:v>14865</c:v>
                </c:pt>
                <c:pt idx="340">
                  <c:v>13474</c:v>
                </c:pt>
                <c:pt idx="341">
                  <c:v>17354</c:v>
                </c:pt>
                <c:pt idx="342">
                  <c:v>14862</c:v>
                </c:pt>
                <c:pt idx="343">
                  <c:v>14851</c:v>
                </c:pt>
                <c:pt idx="344">
                  <c:v>11636</c:v>
                </c:pt>
                <c:pt idx="345">
                  <c:v>14350</c:v>
                </c:pt>
                <c:pt idx="346">
                  <c:v>15155</c:v>
                </c:pt>
                <c:pt idx="347">
                  <c:v>10770</c:v>
                </c:pt>
                <c:pt idx="348">
                  <c:v>11874</c:v>
                </c:pt>
                <c:pt idx="349">
                  <c:v>11689</c:v>
                </c:pt>
                <c:pt idx="350">
                  <c:v>16297</c:v>
                </c:pt>
                <c:pt idx="351">
                  <c:v>14249</c:v>
                </c:pt>
                <c:pt idx="352">
                  <c:v>16732</c:v>
                </c:pt>
                <c:pt idx="353">
                  <c:v>17012</c:v>
                </c:pt>
                <c:pt idx="354">
                  <c:v>15553</c:v>
                </c:pt>
                <c:pt idx="355">
                  <c:v>15166</c:v>
                </c:pt>
                <c:pt idx="356">
                  <c:v>14914</c:v>
                </c:pt>
                <c:pt idx="357">
                  <c:v>15280</c:v>
                </c:pt>
                <c:pt idx="358">
                  <c:v>12598</c:v>
                </c:pt>
                <c:pt idx="359">
                  <c:v>15044</c:v>
                </c:pt>
                <c:pt idx="360">
                  <c:v>16611</c:v>
                </c:pt>
                <c:pt idx="361">
                  <c:v>14790</c:v>
                </c:pt>
                <c:pt idx="362">
                  <c:v>14614</c:v>
                </c:pt>
                <c:pt idx="363">
                  <c:v>13945</c:v>
                </c:pt>
                <c:pt idx="364">
                  <c:v>14156</c:v>
                </c:pt>
                <c:pt idx="365">
                  <c:v>11893</c:v>
                </c:pt>
                <c:pt idx="366">
                  <c:v>15076</c:v>
                </c:pt>
              </c:numCache>
            </c:numRef>
          </c:xVal>
          <c:yVal>
            <c:numRef>
              <c:f>DanePolicja!$G$2:$G$368</c:f>
              <c:numCache>
                <c:formatCode>0</c:formatCode>
                <c:ptCount val="367"/>
                <c:pt idx="0">
                  <c:v>31.659993840468122</c:v>
                </c:pt>
                <c:pt idx="1">
                  <c:v>35.918538150369649</c:v>
                </c:pt>
                <c:pt idx="2">
                  <c:v>30.783973168832723</c:v>
                </c:pt>
                <c:pt idx="3">
                  <c:v>26.219581857648805</c:v>
                </c:pt>
                <c:pt idx="4">
                  <c:v>30.448515476942514</c:v>
                </c:pt>
                <c:pt idx="5">
                  <c:v>27.169763298549253</c:v>
                </c:pt>
                <c:pt idx="6">
                  <c:v>28.905488795063331</c:v>
                </c:pt>
                <c:pt idx="7">
                  <c:v>44.41994682575708</c:v>
                </c:pt>
                <c:pt idx="8">
                  <c:v>38.693723179867625</c:v>
                </c:pt>
                <c:pt idx="9">
                  <c:v>34.246575342465754</c:v>
                </c:pt>
                <c:pt idx="10">
                  <c:v>24.474049068659955</c:v>
                </c:pt>
                <c:pt idx="11">
                  <c:v>25.664754148929607</c:v>
                </c:pt>
                <c:pt idx="12">
                  <c:v>26.532715095311694</c:v>
                </c:pt>
                <c:pt idx="13">
                  <c:v>26.867030965391621</c:v>
                </c:pt>
                <c:pt idx="14">
                  <c:v>29.710192983619603</c:v>
                </c:pt>
                <c:pt idx="15">
                  <c:v>29.672747923617518</c:v>
                </c:pt>
                <c:pt idx="16">
                  <c:v>28.295544826743264</c:v>
                </c:pt>
                <c:pt idx="17">
                  <c:v>24.5930644019816</c:v>
                </c:pt>
                <c:pt idx="18">
                  <c:v>30.40230638186345</c:v>
                </c:pt>
                <c:pt idx="19">
                  <c:v>29.947916666666668</c:v>
                </c:pt>
                <c:pt idx="20">
                  <c:v>31.579620277440387</c:v>
                </c:pt>
                <c:pt idx="21">
                  <c:v>31.287302883709241</c:v>
                </c:pt>
                <c:pt idx="22">
                  <c:v>37.866666666666667</c:v>
                </c:pt>
                <c:pt idx="23">
                  <c:v>32.899628252788105</c:v>
                </c:pt>
                <c:pt idx="24">
                  <c:v>29.508786661068797</c:v>
                </c:pt>
                <c:pt idx="25">
                  <c:v>33.363507047717576</c:v>
                </c:pt>
                <c:pt idx="26">
                  <c:v>40.193642907191538</c:v>
                </c:pt>
                <c:pt idx="27">
                  <c:v>44.688418122777179</c:v>
                </c:pt>
                <c:pt idx="28">
                  <c:v>32.833425908782324</c:v>
                </c:pt>
                <c:pt idx="29">
                  <c:v>42.526440352044965</c:v>
                </c:pt>
                <c:pt idx="30">
                  <c:v>35.099141757916541</c:v>
                </c:pt>
                <c:pt idx="31">
                  <c:v>30.346901275126676</c:v>
                </c:pt>
                <c:pt idx="32">
                  <c:v>34.655010927255695</c:v>
                </c:pt>
                <c:pt idx="33">
                  <c:v>33.649644150330879</c:v>
                </c:pt>
                <c:pt idx="34">
                  <c:v>30.979162825004611</c:v>
                </c:pt>
                <c:pt idx="35">
                  <c:v>41.56367893846754</c:v>
                </c:pt>
                <c:pt idx="36">
                  <c:v>40.364679067715613</c:v>
                </c:pt>
                <c:pt idx="37">
                  <c:v>34.59493274945261</c:v>
                </c:pt>
                <c:pt idx="38">
                  <c:v>27.401798390913392</c:v>
                </c:pt>
                <c:pt idx="39">
                  <c:v>30.872876391329818</c:v>
                </c:pt>
                <c:pt idx="40">
                  <c:v>33.947623666343361</c:v>
                </c:pt>
                <c:pt idx="41">
                  <c:v>29.080496341075406</c:v>
                </c:pt>
                <c:pt idx="42">
                  <c:v>36.511539916761251</c:v>
                </c:pt>
                <c:pt idx="43">
                  <c:v>35.198490456491761</c:v>
                </c:pt>
                <c:pt idx="44">
                  <c:v>34.349532146091157</c:v>
                </c:pt>
                <c:pt idx="45">
                  <c:v>33.180103724658181</c:v>
                </c:pt>
                <c:pt idx="46">
                  <c:v>37.384854647685131</c:v>
                </c:pt>
                <c:pt idx="47">
                  <c:v>33.143705169428642</c:v>
                </c:pt>
                <c:pt idx="48">
                  <c:v>34.575835475578408</c:v>
                </c:pt>
                <c:pt idx="49">
                  <c:v>38.425492033739452</c:v>
                </c:pt>
                <c:pt idx="50">
                  <c:v>40.386303775241437</c:v>
                </c:pt>
                <c:pt idx="51">
                  <c:v>34.540211470682472</c:v>
                </c:pt>
                <c:pt idx="52">
                  <c:v>35.927104425802717</c:v>
                </c:pt>
                <c:pt idx="53">
                  <c:v>38.261750918535412</c:v>
                </c:pt>
                <c:pt idx="54">
                  <c:v>35.353844271820911</c:v>
                </c:pt>
                <c:pt idx="55">
                  <c:v>35.252723458962045</c:v>
                </c:pt>
                <c:pt idx="56">
                  <c:v>48.836032388663973</c:v>
                </c:pt>
                <c:pt idx="57">
                  <c:v>39.649173673528566</c:v>
                </c:pt>
                <c:pt idx="58">
                  <c:v>37.619450828595625</c:v>
                </c:pt>
                <c:pt idx="59">
                  <c:v>34.125220759984046</c:v>
                </c:pt>
                <c:pt idx="60">
                  <c:v>38.023284617290066</c:v>
                </c:pt>
                <c:pt idx="61">
                  <c:v>38.777459407831898</c:v>
                </c:pt>
                <c:pt idx="62">
                  <c:v>35.420910823421174</c:v>
                </c:pt>
                <c:pt idx="63">
                  <c:v>32.655781406197931</c:v>
                </c:pt>
                <c:pt idx="64">
                  <c:v>39.05639743790033</c:v>
                </c:pt>
                <c:pt idx="65">
                  <c:v>35.536280665415241</c:v>
                </c:pt>
                <c:pt idx="66">
                  <c:v>32.965064198268138</c:v>
                </c:pt>
                <c:pt idx="67">
                  <c:v>37.949314714248771</c:v>
                </c:pt>
                <c:pt idx="68">
                  <c:v>37.540624792730647</c:v>
                </c:pt>
                <c:pt idx="69">
                  <c:v>35.390465048259728</c:v>
                </c:pt>
                <c:pt idx="70">
                  <c:v>36.049517072507143</c:v>
                </c:pt>
                <c:pt idx="71">
                  <c:v>38.673188627331093</c:v>
                </c:pt>
                <c:pt idx="72">
                  <c:v>36.034935564649118</c:v>
                </c:pt>
                <c:pt idx="73">
                  <c:v>30.987135081642752</c:v>
                </c:pt>
                <c:pt idx="74">
                  <c:v>33.37354242058705</c:v>
                </c:pt>
                <c:pt idx="75">
                  <c:v>31.853088480801336</c:v>
                </c:pt>
                <c:pt idx="76">
                  <c:v>33.944648216072025</c:v>
                </c:pt>
                <c:pt idx="77">
                  <c:v>41.197336486402392</c:v>
                </c:pt>
                <c:pt idx="78">
                  <c:v>37.371688487307146</c:v>
                </c:pt>
                <c:pt idx="79">
                  <c:v>39.278004317582152</c:v>
                </c:pt>
                <c:pt idx="80">
                  <c:v>32.543190036159103</c:v>
                </c:pt>
                <c:pt idx="81">
                  <c:v>32.441661923733633</c:v>
                </c:pt>
                <c:pt idx="82">
                  <c:v>32.597054886211517</c:v>
                </c:pt>
                <c:pt idx="83">
                  <c:v>33.264586521189543</c:v>
                </c:pt>
                <c:pt idx="84">
                  <c:v>37.752866898595542</c:v>
                </c:pt>
                <c:pt idx="85">
                  <c:v>36.99934578759904</c:v>
                </c:pt>
                <c:pt idx="86">
                  <c:v>35.221350438119231</c:v>
                </c:pt>
                <c:pt idx="87">
                  <c:v>36.822235596651531</c:v>
                </c:pt>
                <c:pt idx="88">
                  <c:v>33.391477697483175</c:v>
                </c:pt>
                <c:pt idx="89">
                  <c:v>32.07592503604036</c:v>
                </c:pt>
                <c:pt idx="90">
                  <c:v>35.256410256410255</c:v>
                </c:pt>
                <c:pt idx="91">
                  <c:v>40.138190954773869</c:v>
                </c:pt>
                <c:pt idx="92">
                  <c:v>39.66864224137931</c:v>
                </c:pt>
                <c:pt idx="93">
                  <c:v>30.829949093405023</c:v>
                </c:pt>
                <c:pt idx="94">
                  <c:v>31.067545128287534</c:v>
                </c:pt>
                <c:pt idx="95">
                  <c:v>38.884243220642695</c:v>
                </c:pt>
                <c:pt idx="96">
                  <c:v>36.88499479198579</c:v>
                </c:pt>
                <c:pt idx="97">
                  <c:v>39.377618192698982</c:v>
                </c:pt>
                <c:pt idx="98">
                  <c:v>38.491516277954318</c:v>
                </c:pt>
                <c:pt idx="99">
                  <c:v>37.525354969574039</c:v>
                </c:pt>
                <c:pt idx="100">
                  <c:v>32.415345049292753</c:v>
                </c:pt>
                <c:pt idx="101">
                  <c:v>27.879595690325445</c:v>
                </c:pt>
                <c:pt idx="102">
                  <c:v>29.729240788759572</c:v>
                </c:pt>
                <c:pt idx="103">
                  <c:v>31.673319808913032</c:v>
                </c:pt>
                <c:pt idx="104">
                  <c:v>35.316946959896505</c:v>
                </c:pt>
                <c:pt idx="105">
                  <c:v>37.205512933668274</c:v>
                </c:pt>
                <c:pt idx="106">
                  <c:v>36.268633779007224</c:v>
                </c:pt>
                <c:pt idx="107">
                  <c:v>37.551073351060381</c:v>
                </c:pt>
                <c:pt idx="108">
                  <c:v>29.427792915531334</c:v>
                </c:pt>
                <c:pt idx="109">
                  <c:v>31.571263458847866</c:v>
                </c:pt>
                <c:pt idx="110">
                  <c:v>35.814350103544889</c:v>
                </c:pt>
                <c:pt idx="111">
                  <c:v>32.399137665537417</c:v>
                </c:pt>
                <c:pt idx="112">
                  <c:v>43.623346681228007</c:v>
                </c:pt>
                <c:pt idx="113">
                  <c:v>38.07404660362198</c:v>
                </c:pt>
                <c:pt idx="114">
                  <c:v>31.844456121912771</c:v>
                </c:pt>
                <c:pt idx="115">
                  <c:v>34.498083439808894</c:v>
                </c:pt>
                <c:pt idx="116">
                  <c:v>26.280393171236419</c:v>
                </c:pt>
                <c:pt idx="117">
                  <c:v>30.318931840708995</c:v>
                </c:pt>
                <c:pt idx="118">
                  <c:v>30.817461256358687</c:v>
                </c:pt>
                <c:pt idx="119">
                  <c:v>29.639407211855762</c:v>
                </c:pt>
                <c:pt idx="120">
                  <c:v>40.716612377850161</c:v>
                </c:pt>
                <c:pt idx="121">
                  <c:v>36.111994909322306</c:v>
                </c:pt>
                <c:pt idx="122">
                  <c:v>32.239657631954351</c:v>
                </c:pt>
                <c:pt idx="123">
                  <c:v>34.907597535934286</c:v>
                </c:pt>
                <c:pt idx="124">
                  <c:v>32.516061360954502</c:v>
                </c:pt>
                <c:pt idx="125">
                  <c:v>29.855600364251334</c:v>
                </c:pt>
                <c:pt idx="126">
                  <c:v>36.545489517214847</c:v>
                </c:pt>
                <c:pt idx="127">
                  <c:v>40.578358208955223</c:v>
                </c:pt>
                <c:pt idx="128">
                  <c:v>37.691664343462499</c:v>
                </c:pt>
                <c:pt idx="129">
                  <c:v>32.20003597769383</c:v>
                </c:pt>
                <c:pt idx="130">
                  <c:v>36.249543072986476</c:v>
                </c:pt>
                <c:pt idx="131">
                  <c:v>34.055914497916788</c:v>
                </c:pt>
                <c:pt idx="132">
                  <c:v>32.163564235581326</c:v>
                </c:pt>
                <c:pt idx="133">
                  <c:v>31.787488852083065</c:v>
                </c:pt>
                <c:pt idx="134">
                  <c:v>33.609777389786117</c:v>
                </c:pt>
                <c:pt idx="135">
                  <c:v>37.742005655862521</c:v>
                </c:pt>
                <c:pt idx="136">
                  <c:v>31.757233592095979</c:v>
                </c:pt>
                <c:pt idx="137">
                  <c:v>36.499353473609972</c:v>
                </c:pt>
                <c:pt idx="138">
                  <c:v>36.387814313346226</c:v>
                </c:pt>
                <c:pt idx="139">
                  <c:v>33.135242211417257</c:v>
                </c:pt>
                <c:pt idx="140">
                  <c:v>43.232323232323232</c:v>
                </c:pt>
                <c:pt idx="141">
                  <c:v>32.706066253832745</c:v>
                </c:pt>
                <c:pt idx="142">
                  <c:v>31.084515992374499</c:v>
                </c:pt>
                <c:pt idx="143">
                  <c:v>29.786511127470412</c:v>
                </c:pt>
                <c:pt idx="144">
                  <c:v>35.850115343849367</c:v>
                </c:pt>
                <c:pt idx="145">
                  <c:v>37.714781961416783</c:v>
                </c:pt>
                <c:pt idx="146">
                  <c:v>35.344156233151615</c:v>
                </c:pt>
                <c:pt idx="147">
                  <c:v>37.792582984493841</c:v>
                </c:pt>
                <c:pt idx="148">
                  <c:v>41.36300965136892</c:v>
                </c:pt>
                <c:pt idx="149">
                  <c:v>40.533457573816314</c:v>
                </c:pt>
                <c:pt idx="150">
                  <c:v>34.665099882491191</c:v>
                </c:pt>
                <c:pt idx="151">
                  <c:v>34.751951649458576</c:v>
                </c:pt>
                <c:pt idx="152">
                  <c:v>36.475166545742361</c:v>
                </c:pt>
                <c:pt idx="153">
                  <c:v>35.014988200778113</c:v>
                </c:pt>
                <c:pt idx="154">
                  <c:v>38.052202865806528</c:v>
                </c:pt>
                <c:pt idx="155">
                  <c:v>34.235294117647058</c:v>
                </c:pt>
                <c:pt idx="156">
                  <c:v>39.769012856831559</c:v>
                </c:pt>
                <c:pt idx="157">
                  <c:v>32.504780114722756</c:v>
                </c:pt>
                <c:pt idx="158">
                  <c:v>35.652871718445489</c:v>
                </c:pt>
                <c:pt idx="159">
                  <c:v>31.831146605818596</c:v>
                </c:pt>
                <c:pt idx="160">
                  <c:v>32.606790159527847</c:v>
                </c:pt>
                <c:pt idx="161">
                  <c:v>32.246633593196314</c:v>
                </c:pt>
                <c:pt idx="162">
                  <c:v>36.195139010316495</c:v>
                </c:pt>
                <c:pt idx="163">
                  <c:v>30.660005259006045</c:v>
                </c:pt>
                <c:pt idx="164">
                  <c:v>31.170928667563931</c:v>
                </c:pt>
                <c:pt idx="165">
                  <c:v>32.701149425287362</c:v>
                </c:pt>
                <c:pt idx="166">
                  <c:v>31.802336248547487</c:v>
                </c:pt>
                <c:pt idx="167">
                  <c:v>27.809023872015995</c:v>
                </c:pt>
                <c:pt idx="168">
                  <c:v>47.73604773604773</c:v>
                </c:pt>
                <c:pt idx="169">
                  <c:v>39.830024735206443</c:v>
                </c:pt>
                <c:pt idx="170">
                  <c:v>33.474502523641</c:v>
                </c:pt>
                <c:pt idx="171">
                  <c:v>37.119908204245554</c:v>
                </c:pt>
                <c:pt idx="172">
                  <c:v>38.074951740664318</c:v>
                </c:pt>
                <c:pt idx="173">
                  <c:v>33.476060724017124</c:v>
                </c:pt>
                <c:pt idx="174">
                  <c:v>31.09903381642512</c:v>
                </c:pt>
                <c:pt idx="175">
                  <c:v>38.189886867929246</c:v>
                </c:pt>
                <c:pt idx="176">
                  <c:v>33.443770707007559</c:v>
                </c:pt>
                <c:pt idx="177">
                  <c:v>33.429167371328717</c:v>
                </c:pt>
                <c:pt idx="178">
                  <c:v>28.005194511885268</c:v>
                </c:pt>
                <c:pt idx="179">
                  <c:v>32.420483851160505</c:v>
                </c:pt>
                <c:pt idx="180">
                  <c:v>34.215666464605647</c:v>
                </c:pt>
                <c:pt idx="181">
                  <c:v>32.255953938759482</c:v>
                </c:pt>
                <c:pt idx="182">
                  <c:v>33.194182601669809</c:v>
                </c:pt>
                <c:pt idx="183">
                  <c:v>38.558318531675546</c:v>
                </c:pt>
                <c:pt idx="184">
                  <c:v>33.960720130932899</c:v>
                </c:pt>
                <c:pt idx="185">
                  <c:v>31.540987136013776</c:v>
                </c:pt>
                <c:pt idx="186">
                  <c:v>32.965743782261853</c:v>
                </c:pt>
                <c:pt idx="187">
                  <c:v>32.346587259882057</c:v>
                </c:pt>
                <c:pt idx="188">
                  <c:v>31.82880776838698</c:v>
                </c:pt>
                <c:pt idx="189">
                  <c:v>33.477321814254864</c:v>
                </c:pt>
                <c:pt idx="190">
                  <c:v>35.005253553060889</c:v>
                </c:pt>
                <c:pt idx="191">
                  <c:v>32.020911615749064</c:v>
                </c:pt>
                <c:pt idx="192">
                  <c:v>28.505878979065098</c:v>
                </c:pt>
                <c:pt idx="193">
                  <c:v>34.447234563131801</c:v>
                </c:pt>
                <c:pt idx="194">
                  <c:v>33.726385190820338</c:v>
                </c:pt>
                <c:pt idx="195">
                  <c:v>33.677648065521666</c:v>
                </c:pt>
                <c:pt idx="196">
                  <c:v>36.105450840550176</c:v>
                </c:pt>
                <c:pt idx="197">
                  <c:v>38.153589083060645</c:v>
                </c:pt>
                <c:pt idx="198">
                  <c:v>32.070317139802832</c:v>
                </c:pt>
                <c:pt idx="199">
                  <c:v>30.413553738455203</c:v>
                </c:pt>
                <c:pt idx="200">
                  <c:v>35.5660201995167</c:v>
                </c:pt>
                <c:pt idx="201">
                  <c:v>35.167916133357714</c:v>
                </c:pt>
                <c:pt idx="202">
                  <c:v>32.160865822162101</c:v>
                </c:pt>
                <c:pt idx="203">
                  <c:v>33.060072570891009</c:v>
                </c:pt>
                <c:pt idx="204">
                  <c:v>40.404040404040408</c:v>
                </c:pt>
                <c:pt idx="205">
                  <c:v>35.70737995488237</c:v>
                </c:pt>
                <c:pt idx="206">
                  <c:v>33.736312424837017</c:v>
                </c:pt>
                <c:pt idx="207">
                  <c:v>31.818181818181817</c:v>
                </c:pt>
                <c:pt idx="208">
                  <c:v>35.809104448617497</c:v>
                </c:pt>
                <c:pt idx="209">
                  <c:v>33.891651400157031</c:v>
                </c:pt>
                <c:pt idx="210">
                  <c:v>39.813824768853387</c:v>
                </c:pt>
                <c:pt idx="211">
                  <c:v>39.297409943435547</c:v>
                </c:pt>
                <c:pt idx="212">
                  <c:v>33.408408408408413</c:v>
                </c:pt>
                <c:pt idx="213">
                  <c:v>34.104603518920221</c:v>
                </c:pt>
                <c:pt idx="214">
                  <c:v>31.707793476137766</c:v>
                </c:pt>
                <c:pt idx="215">
                  <c:v>33.277647844971597</c:v>
                </c:pt>
                <c:pt idx="216">
                  <c:v>33.436908943528778</c:v>
                </c:pt>
                <c:pt idx="217">
                  <c:v>42.536007538026652</c:v>
                </c:pt>
                <c:pt idx="218">
                  <c:v>41.239515377446409</c:v>
                </c:pt>
                <c:pt idx="219">
                  <c:v>39.589156861470457</c:v>
                </c:pt>
                <c:pt idx="220">
                  <c:v>39.375928677563152</c:v>
                </c:pt>
                <c:pt idx="221">
                  <c:v>34.44158129595877</c:v>
                </c:pt>
                <c:pt idx="222">
                  <c:v>29.54924874791319</c:v>
                </c:pt>
                <c:pt idx="223">
                  <c:v>33.765889830508478</c:v>
                </c:pt>
                <c:pt idx="224">
                  <c:v>36.16054524801212</c:v>
                </c:pt>
                <c:pt idx="225">
                  <c:v>37.437784029430865</c:v>
                </c:pt>
                <c:pt idx="226">
                  <c:v>32.676477924669499</c:v>
                </c:pt>
                <c:pt idx="227">
                  <c:v>31.030550387131626</c:v>
                </c:pt>
                <c:pt idx="228">
                  <c:v>34.655609876848814</c:v>
                </c:pt>
                <c:pt idx="229">
                  <c:v>36.10569897710667</c:v>
                </c:pt>
                <c:pt idx="230">
                  <c:v>46.020192533458555</c:v>
                </c:pt>
                <c:pt idx="231">
                  <c:v>37.179487179487182</c:v>
                </c:pt>
                <c:pt idx="232">
                  <c:v>33.249301628398179</c:v>
                </c:pt>
                <c:pt idx="233">
                  <c:v>36.567078094359211</c:v>
                </c:pt>
                <c:pt idx="234">
                  <c:v>32.408325074331024</c:v>
                </c:pt>
                <c:pt idx="235">
                  <c:v>34.186241610738257</c:v>
                </c:pt>
                <c:pt idx="236">
                  <c:v>31.945895419805353</c:v>
                </c:pt>
                <c:pt idx="237">
                  <c:v>36.078717201166185</c:v>
                </c:pt>
                <c:pt idx="238">
                  <c:v>38.59146865158889</c:v>
                </c:pt>
                <c:pt idx="239">
                  <c:v>38.939157566302654</c:v>
                </c:pt>
                <c:pt idx="240">
                  <c:v>35.615010423905488</c:v>
                </c:pt>
                <c:pt idx="241">
                  <c:v>36.984961486734313</c:v>
                </c:pt>
                <c:pt idx="242">
                  <c:v>37.221970040853385</c:v>
                </c:pt>
                <c:pt idx="243">
                  <c:v>33.696605286233243</c:v>
                </c:pt>
                <c:pt idx="244">
                  <c:v>35.92336349121873</c:v>
                </c:pt>
                <c:pt idx="245">
                  <c:v>38.95576897064791</c:v>
                </c:pt>
                <c:pt idx="246">
                  <c:v>41.310909874946091</c:v>
                </c:pt>
                <c:pt idx="247">
                  <c:v>37.781954887218049</c:v>
                </c:pt>
                <c:pt idx="248">
                  <c:v>34.707395850440683</c:v>
                </c:pt>
                <c:pt idx="249">
                  <c:v>35.662824207492797</c:v>
                </c:pt>
                <c:pt idx="250">
                  <c:v>36.554674720020138</c:v>
                </c:pt>
                <c:pt idx="251">
                  <c:v>36.258299700559824</c:v>
                </c:pt>
                <c:pt idx="252">
                  <c:v>37.965425531914889</c:v>
                </c:pt>
                <c:pt idx="253">
                  <c:v>36.234128213069063</c:v>
                </c:pt>
                <c:pt idx="254">
                  <c:v>35.236866791744845</c:v>
                </c:pt>
                <c:pt idx="255">
                  <c:v>31.570549350353318</c:v>
                </c:pt>
                <c:pt idx="256">
                  <c:v>39.199332777314432</c:v>
                </c:pt>
                <c:pt idx="257">
                  <c:v>37.982805081483384</c:v>
                </c:pt>
                <c:pt idx="258">
                  <c:v>33.712925432670652</c:v>
                </c:pt>
                <c:pt idx="259">
                  <c:v>34.711181770005297</c:v>
                </c:pt>
                <c:pt idx="260">
                  <c:v>43.731100255873457</c:v>
                </c:pt>
                <c:pt idx="261">
                  <c:v>34.926140781053768</c:v>
                </c:pt>
                <c:pt idx="262">
                  <c:v>36.450167973124302</c:v>
                </c:pt>
                <c:pt idx="263">
                  <c:v>38.714073339940533</c:v>
                </c:pt>
                <c:pt idx="264">
                  <c:v>38.459001253380826</c:v>
                </c:pt>
                <c:pt idx="265">
                  <c:v>37.780247074972216</c:v>
                </c:pt>
                <c:pt idx="266">
                  <c:v>31.569555967332374</c:v>
                </c:pt>
                <c:pt idx="267">
                  <c:v>42.525174283501158</c:v>
                </c:pt>
                <c:pt idx="268">
                  <c:v>36.113276175630034</c:v>
                </c:pt>
                <c:pt idx="269">
                  <c:v>35.026822341432634</c:v>
                </c:pt>
                <c:pt idx="270">
                  <c:v>41.817450743868115</c:v>
                </c:pt>
                <c:pt idx="271">
                  <c:v>38.356164383561648</c:v>
                </c:pt>
                <c:pt idx="272">
                  <c:v>38.356164383561648</c:v>
                </c:pt>
                <c:pt idx="273">
                  <c:v>42.919243249862248</c:v>
                </c:pt>
                <c:pt idx="274">
                  <c:v>36.922861346598474</c:v>
                </c:pt>
                <c:pt idx="275">
                  <c:v>34.352649659289298</c:v>
                </c:pt>
                <c:pt idx="276">
                  <c:v>30.907735535294453</c:v>
                </c:pt>
                <c:pt idx="277">
                  <c:v>33.542319749216304</c:v>
                </c:pt>
                <c:pt idx="278">
                  <c:v>39.219512195121951</c:v>
                </c:pt>
                <c:pt idx="279">
                  <c:v>36.753040719196193</c:v>
                </c:pt>
                <c:pt idx="280">
                  <c:v>47.307430129516021</c:v>
                </c:pt>
                <c:pt idx="281">
                  <c:v>45.868493608488599</c:v>
                </c:pt>
                <c:pt idx="282">
                  <c:v>35.835023664638271</c:v>
                </c:pt>
                <c:pt idx="283">
                  <c:v>36.418535863938871</c:v>
                </c:pt>
                <c:pt idx="284">
                  <c:v>39.125508231687</c:v>
                </c:pt>
                <c:pt idx="285">
                  <c:v>36.837913181999198</c:v>
                </c:pt>
                <c:pt idx="286">
                  <c:v>34.575722855024601</c:v>
                </c:pt>
                <c:pt idx="287">
                  <c:v>38.820605816374503</c:v>
                </c:pt>
                <c:pt idx="288">
                  <c:v>39.330279576686145</c:v>
                </c:pt>
                <c:pt idx="289">
                  <c:v>30.512904279647174</c:v>
                </c:pt>
                <c:pt idx="290">
                  <c:v>37.350789372352715</c:v>
                </c:pt>
                <c:pt idx="291">
                  <c:v>33.172746042670333</c:v>
                </c:pt>
                <c:pt idx="292">
                  <c:v>38.388367984780544</c:v>
                </c:pt>
                <c:pt idx="293">
                  <c:v>33.155080213903744</c:v>
                </c:pt>
                <c:pt idx="294">
                  <c:v>36.167647684561373</c:v>
                </c:pt>
                <c:pt idx="295">
                  <c:v>40.013592727890583</c:v>
                </c:pt>
                <c:pt idx="296">
                  <c:v>37.230388789668908</c:v>
                </c:pt>
                <c:pt idx="297">
                  <c:v>30.445111277819457</c:v>
                </c:pt>
                <c:pt idx="298">
                  <c:v>33.236228813559322</c:v>
                </c:pt>
                <c:pt idx="299">
                  <c:v>36.927728188885695</c:v>
                </c:pt>
                <c:pt idx="300">
                  <c:v>39.341458199700661</c:v>
                </c:pt>
                <c:pt idx="301">
                  <c:v>40.417672964909784</c:v>
                </c:pt>
                <c:pt idx="302">
                  <c:v>46.134020618556704</c:v>
                </c:pt>
                <c:pt idx="303">
                  <c:v>35.2949254961203</c:v>
                </c:pt>
                <c:pt idx="304">
                  <c:v>36.618567928124151</c:v>
                </c:pt>
                <c:pt idx="305">
                  <c:v>39.886660854402791</c:v>
                </c:pt>
                <c:pt idx="306">
                  <c:v>35.965707116470341</c:v>
                </c:pt>
                <c:pt idx="307">
                  <c:v>40.886699507389167</c:v>
                </c:pt>
                <c:pt idx="308">
                  <c:v>42.31414605675932</c:v>
                </c:pt>
                <c:pt idx="309">
                  <c:v>40.165488708843306</c:v>
                </c:pt>
                <c:pt idx="310">
                  <c:v>33.287482806052267</c:v>
                </c:pt>
                <c:pt idx="311">
                  <c:v>33.309617747881774</c:v>
                </c:pt>
                <c:pt idx="312">
                  <c:v>37.552062340454121</c:v>
                </c:pt>
                <c:pt idx="313">
                  <c:v>37.596626844694306</c:v>
                </c:pt>
                <c:pt idx="314">
                  <c:v>36.273701566364387</c:v>
                </c:pt>
                <c:pt idx="315">
                  <c:v>37.414491134999302</c:v>
                </c:pt>
                <c:pt idx="316">
                  <c:v>46.247948679695661</c:v>
                </c:pt>
                <c:pt idx="317">
                  <c:v>40.283070223189988</c:v>
                </c:pt>
                <c:pt idx="318">
                  <c:v>34.962812281482421</c:v>
                </c:pt>
                <c:pt idx="319">
                  <c:v>36.933847692527507</c:v>
                </c:pt>
                <c:pt idx="320">
                  <c:v>36.649582250930287</c:v>
                </c:pt>
                <c:pt idx="321">
                  <c:v>35.269867928849528</c:v>
                </c:pt>
                <c:pt idx="322">
                  <c:v>34.427597718736955</c:v>
                </c:pt>
                <c:pt idx="323">
                  <c:v>40.274715957266409</c:v>
                </c:pt>
                <c:pt idx="324">
                  <c:v>37.207726194510336</c:v>
                </c:pt>
                <c:pt idx="325">
                  <c:v>30.432836775142253</c:v>
                </c:pt>
                <c:pt idx="326">
                  <c:v>38.67289462838302</c:v>
                </c:pt>
                <c:pt idx="327">
                  <c:v>36.306235201262822</c:v>
                </c:pt>
                <c:pt idx="328">
                  <c:v>37.196845707484009</c:v>
                </c:pt>
                <c:pt idx="329">
                  <c:v>37.073024889752595</c:v>
                </c:pt>
                <c:pt idx="330">
                  <c:v>36.235086168802475</c:v>
                </c:pt>
                <c:pt idx="331">
                  <c:v>34.662166912746962</c:v>
                </c:pt>
                <c:pt idx="332">
                  <c:v>34.798298749838899</c:v>
                </c:pt>
                <c:pt idx="333">
                  <c:v>34.698935704913254</c:v>
                </c:pt>
                <c:pt idx="334">
                  <c:v>33.032821524158329</c:v>
                </c:pt>
                <c:pt idx="335">
                  <c:v>46.531791907514446</c:v>
                </c:pt>
                <c:pt idx="336">
                  <c:v>38.866728035184614</c:v>
                </c:pt>
                <c:pt idx="337">
                  <c:v>33.32407664537628</c:v>
                </c:pt>
                <c:pt idx="338">
                  <c:v>32.731722239216886</c:v>
                </c:pt>
                <c:pt idx="339">
                  <c:v>30.205179952909518</c:v>
                </c:pt>
                <c:pt idx="340">
                  <c:v>39.186581564494581</c:v>
                </c:pt>
                <c:pt idx="341">
                  <c:v>33.536936729284314</c:v>
                </c:pt>
                <c:pt idx="342">
                  <c:v>25.433992733144933</c:v>
                </c:pt>
                <c:pt idx="343">
                  <c:v>27.742239579826276</c:v>
                </c:pt>
                <c:pt idx="344">
                  <c:v>31.196287383980749</c:v>
                </c:pt>
                <c:pt idx="345">
                  <c:v>30.313588850174213</c:v>
                </c:pt>
                <c:pt idx="346">
                  <c:v>30.616958099637085</c:v>
                </c:pt>
                <c:pt idx="347">
                  <c:v>32.12627669452182</c:v>
                </c:pt>
                <c:pt idx="348">
                  <c:v>31.076301162203134</c:v>
                </c:pt>
                <c:pt idx="349">
                  <c:v>28.402771836769613</c:v>
                </c:pt>
                <c:pt idx="350">
                  <c:v>31.969074062710927</c:v>
                </c:pt>
                <c:pt idx="351">
                  <c:v>36.634149764895781</c:v>
                </c:pt>
                <c:pt idx="352">
                  <c:v>31.914893617021274</c:v>
                </c:pt>
                <c:pt idx="353">
                  <c:v>32.036209734305196</c:v>
                </c:pt>
                <c:pt idx="354">
                  <c:v>31.826657236546005</c:v>
                </c:pt>
                <c:pt idx="355">
                  <c:v>34.616906237636819</c:v>
                </c:pt>
                <c:pt idx="356">
                  <c:v>36.00643690492155</c:v>
                </c:pt>
                <c:pt idx="357">
                  <c:v>29.319371727748692</c:v>
                </c:pt>
                <c:pt idx="358">
                  <c:v>36.989998412446418</c:v>
                </c:pt>
                <c:pt idx="359">
                  <c:v>32.238766285562356</c:v>
                </c:pt>
                <c:pt idx="360">
                  <c:v>26.729275781108903</c:v>
                </c:pt>
                <c:pt idx="361">
                  <c:v>33.062880324543613</c:v>
                </c:pt>
                <c:pt idx="362">
                  <c:v>34.213767620090323</c:v>
                </c:pt>
                <c:pt idx="363">
                  <c:v>32.699892434564354</c:v>
                </c:pt>
                <c:pt idx="364">
                  <c:v>41.607798813224072</c:v>
                </c:pt>
                <c:pt idx="365">
                  <c:v>34.305894223492814</c:v>
                </c:pt>
                <c:pt idx="366">
                  <c:v>33.297957017776596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4-4743-B3EE-5C39EB998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489512"/>
        <c:axId val="8184891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shade val="76000"/>
                      </a:schemeClr>
                    </a:solidFill>
                    <a:ln w="9525">
                      <a:solidFill>
                        <a:schemeClr val="accent1">
                          <a:shade val="76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DanePolicja!$G$2:$G$368</c15:sqref>
                        </c15:formulaRef>
                      </c:ext>
                    </c:extLst>
                    <c:numCache>
                      <c:formatCode>0</c:formatCode>
                      <c:ptCount val="367"/>
                      <c:pt idx="0">
                        <c:v>31.659993840468122</c:v>
                      </c:pt>
                      <c:pt idx="1">
                        <c:v>35.918538150369649</c:v>
                      </c:pt>
                      <c:pt idx="2">
                        <c:v>30.783973168832723</c:v>
                      </c:pt>
                      <c:pt idx="3">
                        <c:v>26.219581857648805</c:v>
                      </c:pt>
                      <c:pt idx="4">
                        <c:v>30.448515476942514</c:v>
                      </c:pt>
                      <c:pt idx="5">
                        <c:v>27.169763298549253</c:v>
                      </c:pt>
                      <c:pt idx="6">
                        <c:v>28.905488795063331</c:v>
                      </c:pt>
                      <c:pt idx="7">
                        <c:v>44.41994682575708</c:v>
                      </c:pt>
                      <c:pt idx="8">
                        <c:v>38.693723179867625</c:v>
                      </c:pt>
                      <c:pt idx="9">
                        <c:v>34.246575342465754</c:v>
                      </c:pt>
                      <c:pt idx="10">
                        <c:v>24.474049068659955</c:v>
                      </c:pt>
                      <c:pt idx="11">
                        <c:v>25.664754148929607</c:v>
                      </c:pt>
                      <c:pt idx="12">
                        <c:v>26.532715095311694</c:v>
                      </c:pt>
                      <c:pt idx="13">
                        <c:v>26.867030965391621</c:v>
                      </c:pt>
                      <c:pt idx="14">
                        <c:v>29.710192983619603</c:v>
                      </c:pt>
                      <c:pt idx="15">
                        <c:v>29.672747923617518</c:v>
                      </c:pt>
                      <c:pt idx="16">
                        <c:v>28.295544826743264</c:v>
                      </c:pt>
                      <c:pt idx="17">
                        <c:v>24.5930644019816</c:v>
                      </c:pt>
                      <c:pt idx="18">
                        <c:v>30.40230638186345</c:v>
                      </c:pt>
                      <c:pt idx="19">
                        <c:v>29.947916666666668</c:v>
                      </c:pt>
                      <c:pt idx="20">
                        <c:v>31.579620277440387</c:v>
                      </c:pt>
                      <c:pt idx="21">
                        <c:v>31.287302883709241</c:v>
                      </c:pt>
                      <c:pt idx="22">
                        <c:v>37.866666666666667</c:v>
                      </c:pt>
                      <c:pt idx="23">
                        <c:v>32.899628252788105</c:v>
                      </c:pt>
                      <c:pt idx="24">
                        <c:v>29.508786661068797</c:v>
                      </c:pt>
                      <c:pt idx="25">
                        <c:v>33.363507047717576</c:v>
                      </c:pt>
                      <c:pt idx="26">
                        <c:v>40.193642907191538</c:v>
                      </c:pt>
                      <c:pt idx="27">
                        <c:v>44.688418122777179</c:v>
                      </c:pt>
                      <c:pt idx="28">
                        <c:v>32.833425908782324</c:v>
                      </c:pt>
                      <c:pt idx="29">
                        <c:v>42.526440352044965</c:v>
                      </c:pt>
                      <c:pt idx="30">
                        <c:v>35.099141757916541</c:v>
                      </c:pt>
                      <c:pt idx="31">
                        <c:v>30.346901275126676</c:v>
                      </c:pt>
                      <c:pt idx="32">
                        <c:v>34.655010927255695</c:v>
                      </c:pt>
                      <c:pt idx="33">
                        <c:v>33.649644150330879</c:v>
                      </c:pt>
                      <c:pt idx="34">
                        <c:v>30.979162825004611</c:v>
                      </c:pt>
                      <c:pt idx="35">
                        <c:v>41.56367893846754</c:v>
                      </c:pt>
                      <c:pt idx="36">
                        <c:v>40.364679067715613</c:v>
                      </c:pt>
                      <c:pt idx="37">
                        <c:v>34.59493274945261</c:v>
                      </c:pt>
                      <c:pt idx="38">
                        <c:v>27.401798390913392</c:v>
                      </c:pt>
                      <c:pt idx="39">
                        <c:v>30.872876391329818</c:v>
                      </c:pt>
                      <c:pt idx="40">
                        <c:v>33.947623666343361</c:v>
                      </c:pt>
                      <c:pt idx="41">
                        <c:v>29.080496341075406</c:v>
                      </c:pt>
                      <c:pt idx="42">
                        <c:v>36.511539916761251</c:v>
                      </c:pt>
                      <c:pt idx="43">
                        <c:v>35.198490456491761</c:v>
                      </c:pt>
                      <c:pt idx="44">
                        <c:v>34.349532146091157</c:v>
                      </c:pt>
                      <c:pt idx="45">
                        <c:v>33.180103724658181</c:v>
                      </c:pt>
                      <c:pt idx="46">
                        <c:v>37.384854647685131</c:v>
                      </c:pt>
                      <c:pt idx="47">
                        <c:v>33.143705169428642</c:v>
                      </c:pt>
                      <c:pt idx="48">
                        <c:v>34.575835475578408</c:v>
                      </c:pt>
                      <c:pt idx="49">
                        <c:v>38.425492033739452</c:v>
                      </c:pt>
                      <c:pt idx="50">
                        <c:v>40.386303775241437</c:v>
                      </c:pt>
                      <c:pt idx="51">
                        <c:v>34.540211470682472</c:v>
                      </c:pt>
                      <c:pt idx="52">
                        <c:v>35.927104425802717</c:v>
                      </c:pt>
                      <c:pt idx="53">
                        <c:v>38.261750918535412</c:v>
                      </c:pt>
                      <c:pt idx="54">
                        <c:v>35.353844271820911</c:v>
                      </c:pt>
                      <c:pt idx="55">
                        <c:v>35.252723458962045</c:v>
                      </c:pt>
                      <c:pt idx="56">
                        <c:v>48.836032388663973</c:v>
                      </c:pt>
                      <c:pt idx="57">
                        <c:v>39.649173673528566</c:v>
                      </c:pt>
                      <c:pt idx="58">
                        <c:v>37.619450828595625</c:v>
                      </c:pt>
                      <c:pt idx="59">
                        <c:v>34.125220759984046</c:v>
                      </c:pt>
                      <c:pt idx="60">
                        <c:v>38.023284617290066</c:v>
                      </c:pt>
                      <c:pt idx="61">
                        <c:v>38.777459407831898</c:v>
                      </c:pt>
                      <c:pt idx="62">
                        <c:v>35.420910823421174</c:v>
                      </c:pt>
                      <c:pt idx="63">
                        <c:v>32.655781406197931</c:v>
                      </c:pt>
                      <c:pt idx="64">
                        <c:v>39.05639743790033</c:v>
                      </c:pt>
                      <c:pt idx="65">
                        <c:v>35.536280665415241</c:v>
                      </c:pt>
                      <c:pt idx="66">
                        <c:v>32.965064198268138</c:v>
                      </c:pt>
                      <c:pt idx="67">
                        <c:v>37.949314714248771</c:v>
                      </c:pt>
                      <c:pt idx="68">
                        <c:v>37.540624792730647</c:v>
                      </c:pt>
                      <c:pt idx="69">
                        <c:v>35.390465048259728</c:v>
                      </c:pt>
                      <c:pt idx="70">
                        <c:v>36.049517072507143</c:v>
                      </c:pt>
                      <c:pt idx="71">
                        <c:v>38.673188627331093</c:v>
                      </c:pt>
                      <c:pt idx="72">
                        <c:v>36.034935564649118</c:v>
                      </c:pt>
                      <c:pt idx="73">
                        <c:v>30.987135081642752</c:v>
                      </c:pt>
                      <c:pt idx="74">
                        <c:v>33.37354242058705</c:v>
                      </c:pt>
                      <c:pt idx="75">
                        <c:v>31.853088480801336</c:v>
                      </c:pt>
                      <c:pt idx="76">
                        <c:v>33.944648216072025</c:v>
                      </c:pt>
                      <c:pt idx="77">
                        <c:v>41.197336486402392</c:v>
                      </c:pt>
                      <c:pt idx="78">
                        <c:v>37.371688487307146</c:v>
                      </c:pt>
                      <c:pt idx="79">
                        <c:v>39.278004317582152</c:v>
                      </c:pt>
                      <c:pt idx="80">
                        <c:v>32.543190036159103</c:v>
                      </c:pt>
                      <c:pt idx="81">
                        <c:v>32.441661923733633</c:v>
                      </c:pt>
                      <c:pt idx="82">
                        <c:v>32.597054886211517</c:v>
                      </c:pt>
                      <c:pt idx="83">
                        <c:v>33.264586521189543</c:v>
                      </c:pt>
                      <c:pt idx="84">
                        <c:v>37.752866898595542</c:v>
                      </c:pt>
                      <c:pt idx="85">
                        <c:v>36.99934578759904</c:v>
                      </c:pt>
                      <c:pt idx="86">
                        <c:v>35.221350438119231</c:v>
                      </c:pt>
                      <c:pt idx="87">
                        <c:v>36.822235596651531</c:v>
                      </c:pt>
                      <c:pt idx="88">
                        <c:v>33.391477697483175</c:v>
                      </c:pt>
                      <c:pt idx="89">
                        <c:v>32.07592503604036</c:v>
                      </c:pt>
                      <c:pt idx="90">
                        <c:v>35.256410256410255</c:v>
                      </c:pt>
                      <c:pt idx="91">
                        <c:v>40.138190954773869</c:v>
                      </c:pt>
                      <c:pt idx="92">
                        <c:v>39.66864224137931</c:v>
                      </c:pt>
                      <c:pt idx="93">
                        <c:v>30.829949093405023</c:v>
                      </c:pt>
                      <c:pt idx="94">
                        <c:v>31.067545128287534</c:v>
                      </c:pt>
                      <c:pt idx="95">
                        <c:v>38.884243220642695</c:v>
                      </c:pt>
                      <c:pt idx="96">
                        <c:v>36.88499479198579</c:v>
                      </c:pt>
                      <c:pt idx="97">
                        <c:v>39.377618192698982</c:v>
                      </c:pt>
                      <c:pt idx="98">
                        <c:v>38.491516277954318</c:v>
                      </c:pt>
                      <c:pt idx="99">
                        <c:v>37.525354969574039</c:v>
                      </c:pt>
                      <c:pt idx="100">
                        <c:v>32.415345049292753</c:v>
                      </c:pt>
                      <c:pt idx="101">
                        <c:v>27.879595690325445</c:v>
                      </c:pt>
                      <c:pt idx="102">
                        <c:v>29.729240788759572</c:v>
                      </c:pt>
                      <c:pt idx="103">
                        <c:v>31.673319808913032</c:v>
                      </c:pt>
                      <c:pt idx="104">
                        <c:v>35.316946959896505</c:v>
                      </c:pt>
                      <c:pt idx="105">
                        <c:v>37.205512933668274</c:v>
                      </c:pt>
                      <c:pt idx="106">
                        <c:v>36.268633779007224</c:v>
                      </c:pt>
                      <c:pt idx="107">
                        <c:v>37.551073351060381</c:v>
                      </c:pt>
                      <c:pt idx="108">
                        <c:v>29.427792915531334</c:v>
                      </c:pt>
                      <c:pt idx="109">
                        <c:v>31.571263458847866</c:v>
                      </c:pt>
                      <c:pt idx="110">
                        <c:v>35.814350103544889</c:v>
                      </c:pt>
                      <c:pt idx="111">
                        <c:v>32.399137665537417</c:v>
                      </c:pt>
                      <c:pt idx="112">
                        <c:v>43.623346681228007</c:v>
                      </c:pt>
                      <c:pt idx="113">
                        <c:v>38.07404660362198</c:v>
                      </c:pt>
                      <c:pt idx="114">
                        <c:v>31.844456121912771</c:v>
                      </c:pt>
                      <c:pt idx="115">
                        <c:v>34.498083439808894</c:v>
                      </c:pt>
                      <c:pt idx="116">
                        <c:v>26.280393171236419</c:v>
                      </c:pt>
                      <c:pt idx="117">
                        <c:v>30.318931840708995</c:v>
                      </c:pt>
                      <c:pt idx="118">
                        <c:v>30.817461256358687</c:v>
                      </c:pt>
                      <c:pt idx="119">
                        <c:v>29.639407211855762</c:v>
                      </c:pt>
                      <c:pt idx="120">
                        <c:v>40.716612377850161</c:v>
                      </c:pt>
                      <c:pt idx="121">
                        <c:v>36.111994909322306</c:v>
                      </c:pt>
                      <c:pt idx="122">
                        <c:v>32.239657631954351</c:v>
                      </c:pt>
                      <c:pt idx="123">
                        <c:v>34.907597535934286</c:v>
                      </c:pt>
                      <c:pt idx="124">
                        <c:v>32.516061360954502</c:v>
                      </c:pt>
                      <c:pt idx="125">
                        <c:v>29.855600364251334</c:v>
                      </c:pt>
                      <c:pt idx="126">
                        <c:v>36.545489517214847</c:v>
                      </c:pt>
                      <c:pt idx="127">
                        <c:v>40.578358208955223</c:v>
                      </c:pt>
                      <c:pt idx="128">
                        <c:v>37.691664343462499</c:v>
                      </c:pt>
                      <c:pt idx="129">
                        <c:v>32.20003597769383</c:v>
                      </c:pt>
                      <c:pt idx="130">
                        <c:v>36.249543072986476</c:v>
                      </c:pt>
                      <c:pt idx="131">
                        <c:v>34.055914497916788</c:v>
                      </c:pt>
                      <c:pt idx="132">
                        <c:v>32.163564235581326</c:v>
                      </c:pt>
                      <c:pt idx="133">
                        <c:v>31.787488852083065</c:v>
                      </c:pt>
                      <c:pt idx="134">
                        <c:v>33.609777389786117</c:v>
                      </c:pt>
                      <c:pt idx="135">
                        <c:v>37.742005655862521</c:v>
                      </c:pt>
                      <c:pt idx="136">
                        <c:v>31.757233592095979</c:v>
                      </c:pt>
                      <c:pt idx="137">
                        <c:v>36.499353473609972</c:v>
                      </c:pt>
                      <c:pt idx="138">
                        <c:v>36.387814313346226</c:v>
                      </c:pt>
                      <c:pt idx="139">
                        <c:v>33.135242211417257</c:v>
                      </c:pt>
                      <c:pt idx="140">
                        <c:v>43.232323232323232</c:v>
                      </c:pt>
                      <c:pt idx="141">
                        <c:v>32.706066253832745</c:v>
                      </c:pt>
                      <c:pt idx="142">
                        <c:v>31.084515992374499</c:v>
                      </c:pt>
                      <c:pt idx="143">
                        <c:v>29.786511127470412</c:v>
                      </c:pt>
                      <c:pt idx="144">
                        <c:v>35.850115343849367</c:v>
                      </c:pt>
                      <c:pt idx="145">
                        <c:v>37.714781961416783</c:v>
                      </c:pt>
                      <c:pt idx="146">
                        <c:v>35.344156233151615</c:v>
                      </c:pt>
                      <c:pt idx="147">
                        <c:v>37.792582984493841</c:v>
                      </c:pt>
                      <c:pt idx="148">
                        <c:v>41.36300965136892</c:v>
                      </c:pt>
                      <c:pt idx="149">
                        <c:v>40.533457573816314</c:v>
                      </c:pt>
                      <c:pt idx="150">
                        <c:v>34.665099882491191</c:v>
                      </c:pt>
                      <c:pt idx="151">
                        <c:v>34.751951649458576</c:v>
                      </c:pt>
                      <c:pt idx="152">
                        <c:v>36.475166545742361</c:v>
                      </c:pt>
                      <c:pt idx="153">
                        <c:v>35.014988200778113</c:v>
                      </c:pt>
                      <c:pt idx="154">
                        <c:v>38.052202865806528</c:v>
                      </c:pt>
                      <c:pt idx="155">
                        <c:v>34.235294117647058</c:v>
                      </c:pt>
                      <c:pt idx="156">
                        <c:v>39.769012856831559</c:v>
                      </c:pt>
                      <c:pt idx="157">
                        <c:v>32.504780114722756</c:v>
                      </c:pt>
                      <c:pt idx="158">
                        <c:v>35.652871718445489</c:v>
                      </c:pt>
                      <c:pt idx="159">
                        <c:v>31.831146605818596</c:v>
                      </c:pt>
                      <c:pt idx="160">
                        <c:v>32.606790159527847</c:v>
                      </c:pt>
                      <c:pt idx="161">
                        <c:v>32.246633593196314</c:v>
                      </c:pt>
                      <c:pt idx="162">
                        <c:v>36.195139010316495</c:v>
                      </c:pt>
                      <c:pt idx="163">
                        <c:v>30.660005259006045</c:v>
                      </c:pt>
                      <c:pt idx="164">
                        <c:v>31.170928667563931</c:v>
                      </c:pt>
                      <c:pt idx="165">
                        <c:v>32.701149425287362</c:v>
                      </c:pt>
                      <c:pt idx="166">
                        <c:v>31.802336248547487</c:v>
                      </c:pt>
                      <c:pt idx="167">
                        <c:v>27.809023872015995</c:v>
                      </c:pt>
                      <c:pt idx="168">
                        <c:v>47.73604773604773</c:v>
                      </c:pt>
                      <c:pt idx="169">
                        <c:v>39.830024735206443</c:v>
                      </c:pt>
                      <c:pt idx="170">
                        <c:v>33.474502523641</c:v>
                      </c:pt>
                      <c:pt idx="171">
                        <c:v>37.119908204245554</c:v>
                      </c:pt>
                      <c:pt idx="172">
                        <c:v>38.074951740664318</c:v>
                      </c:pt>
                      <c:pt idx="173">
                        <c:v>33.476060724017124</c:v>
                      </c:pt>
                      <c:pt idx="174">
                        <c:v>31.09903381642512</c:v>
                      </c:pt>
                      <c:pt idx="175">
                        <c:v>38.189886867929246</c:v>
                      </c:pt>
                      <c:pt idx="176">
                        <c:v>33.443770707007559</c:v>
                      </c:pt>
                      <c:pt idx="177">
                        <c:v>33.429167371328717</c:v>
                      </c:pt>
                      <c:pt idx="178">
                        <c:v>28.005194511885268</c:v>
                      </c:pt>
                      <c:pt idx="179">
                        <c:v>32.420483851160505</c:v>
                      </c:pt>
                      <c:pt idx="180">
                        <c:v>34.215666464605647</c:v>
                      </c:pt>
                      <c:pt idx="181">
                        <c:v>32.255953938759482</c:v>
                      </c:pt>
                      <c:pt idx="182">
                        <c:v>33.194182601669809</c:v>
                      </c:pt>
                      <c:pt idx="183">
                        <c:v>38.558318531675546</c:v>
                      </c:pt>
                      <c:pt idx="184">
                        <c:v>33.960720130932899</c:v>
                      </c:pt>
                      <c:pt idx="185">
                        <c:v>31.540987136013776</c:v>
                      </c:pt>
                      <c:pt idx="186">
                        <c:v>32.965743782261853</c:v>
                      </c:pt>
                      <c:pt idx="187">
                        <c:v>32.346587259882057</c:v>
                      </c:pt>
                      <c:pt idx="188">
                        <c:v>31.82880776838698</c:v>
                      </c:pt>
                      <c:pt idx="189">
                        <c:v>33.477321814254864</c:v>
                      </c:pt>
                      <c:pt idx="190">
                        <c:v>35.005253553060889</c:v>
                      </c:pt>
                      <c:pt idx="191">
                        <c:v>32.020911615749064</c:v>
                      </c:pt>
                      <c:pt idx="192">
                        <c:v>28.505878979065098</c:v>
                      </c:pt>
                      <c:pt idx="193">
                        <c:v>34.447234563131801</c:v>
                      </c:pt>
                      <c:pt idx="194">
                        <c:v>33.726385190820338</c:v>
                      </c:pt>
                      <c:pt idx="195">
                        <c:v>33.677648065521666</c:v>
                      </c:pt>
                      <c:pt idx="196">
                        <c:v>36.105450840550176</c:v>
                      </c:pt>
                      <c:pt idx="197">
                        <c:v>38.153589083060645</c:v>
                      </c:pt>
                      <c:pt idx="198">
                        <c:v>32.070317139802832</c:v>
                      </c:pt>
                      <c:pt idx="199">
                        <c:v>30.413553738455203</c:v>
                      </c:pt>
                      <c:pt idx="200">
                        <c:v>35.5660201995167</c:v>
                      </c:pt>
                      <c:pt idx="201">
                        <c:v>35.167916133357714</c:v>
                      </c:pt>
                      <c:pt idx="202">
                        <c:v>32.160865822162101</c:v>
                      </c:pt>
                      <c:pt idx="203">
                        <c:v>33.060072570891009</c:v>
                      </c:pt>
                      <c:pt idx="204">
                        <c:v>40.404040404040408</c:v>
                      </c:pt>
                      <c:pt idx="205">
                        <c:v>35.70737995488237</c:v>
                      </c:pt>
                      <c:pt idx="206">
                        <c:v>33.736312424837017</c:v>
                      </c:pt>
                      <c:pt idx="207">
                        <c:v>31.818181818181817</c:v>
                      </c:pt>
                      <c:pt idx="208">
                        <c:v>35.809104448617497</c:v>
                      </c:pt>
                      <c:pt idx="209">
                        <c:v>33.891651400157031</c:v>
                      </c:pt>
                      <c:pt idx="210">
                        <c:v>39.813824768853387</c:v>
                      </c:pt>
                      <c:pt idx="211">
                        <c:v>39.297409943435547</c:v>
                      </c:pt>
                      <c:pt idx="212">
                        <c:v>33.408408408408413</c:v>
                      </c:pt>
                      <c:pt idx="213">
                        <c:v>34.104603518920221</c:v>
                      </c:pt>
                      <c:pt idx="214">
                        <c:v>31.707793476137766</c:v>
                      </c:pt>
                      <c:pt idx="215">
                        <c:v>33.277647844971597</c:v>
                      </c:pt>
                      <c:pt idx="216">
                        <c:v>33.436908943528778</c:v>
                      </c:pt>
                      <c:pt idx="217">
                        <c:v>42.536007538026652</c:v>
                      </c:pt>
                      <c:pt idx="218">
                        <c:v>41.239515377446409</c:v>
                      </c:pt>
                      <c:pt idx="219">
                        <c:v>39.589156861470457</c:v>
                      </c:pt>
                      <c:pt idx="220">
                        <c:v>39.375928677563152</c:v>
                      </c:pt>
                      <c:pt idx="221">
                        <c:v>34.44158129595877</c:v>
                      </c:pt>
                      <c:pt idx="222">
                        <c:v>29.54924874791319</c:v>
                      </c:pt>
                      <c:pt idx="223">
                        <c:v>33.765889830508478</c:v>
                      </c:pt>
                      <c:pt idx="224">
                        <c:v>36.16054524801212</c:v>
                      </c:pt>
                      <c:pt idx="225">
                        <c:v>37.437784029430865</c:v>
                      </c:pt>
                      <c:pt idx="226">
                        <c:v>32.676477924669499</c:v>
                      </c:pt>
                      <c:pt idx="227">
                        <c:v>31.030550387131626</c:v>
                      </c:pt>
                      <c:pt idx="228">
                        <c:v>34.655609876848814</c:v>
                      </c:pt>
                      <c:pt idx="229">
                        <c:v>36.10569897710667</c:v>
                      </c:pt>
                      <c:pt idx="230">
                        <c:v>46.020192533458555</c:v>
                      </c:pt>
                      <c:pt idx="231">
                        <c:v>37.179487179487182</c:v>
                      </c:pt>
                      <c:pt idx="232">
                        <c:v>33.249301628398179</c:v>
                      </c:pt>
                      <c:pt idx="233">
                        <c:v>36.567078094359211</c:v>
                      </c:pt>
                      <c:pt idx="234">
                        <c:v>32.408325074331024</c:v>
                      </c:pt>
                      <c:pt idx="235">
                        <c:v>34.186241610738257</c:v>
                      </c:pt>
                      <c:pt idx="236">
                        <c:v>31.945895419805353</c:v>
                      </c:pt>
                      <c:pt idx="237">
                        <c:v>36.078717201166185</c:v>
                      </c:pt>
                      <c:pt idx="238">
                        <c:v>38.59146865158889</c:v>
                      </c:pt>
                      <c:pt idx="239">
                        <c:v>38.939157566302654</c:v>
                      </c:pt>
                      <c:pt idx="240">
                        <c:v>35.615010423905488</c:v>
                      </c:pt>
                      <c:pt idx="241">
                        <c:v>36.984961486734313</c:v>
                      </c:pt>
                      <c:pt idx="242">
                        <c:v>37.221970040853385</c:v>
                      </c:pt>
                      <c:pt idx="243">
                        <c:v>33.696605286233243</c:v>
                      </c:pt>
                      <c:pt idx="244">
                        <c:v>35.92336349121873</c:v>
                      </c:pt>
                      <c:pt idx="245">
                        <c:v>38.95576897064791</c:v>
                      </c:pt>
                      <c:pt idx="246">
                        <c:v>41.310909874946091</c:v>
                      </c:pt>
                      <c:pt idx="247">
                        <c:v>37.781954887218049</c:v>
                      </c:pt>
                      <c:pt idx="248">
                        <c:v>34.707395850440683</c:v>
                      </c:pt>
                      <c:pt idx="249">
                        <c:v>35.662824207492797</c:v>
                      </c:pt>
                      <c:pt idx="250">
                        <c:v>36.554674720020138</c:v>
                      </c:pt>
                      <c:pt idx="251">
                        <c:v>36.258299700559824</c:v>
                      </c:pt>
                      <c:pt idx="252">
                        <c:v>37.965425531914889</c:v>
                      </c:pt>
                      <c:pt idx="253">
                        <c:v>36.234128213069063</c:v>
                      </c:pt>
                      <c:pt idx="254">
                        <c:v>35.236866791744845</c:v>
                      </c:pt>
                      <c:pt idx="255">
                        <c:v>31.570549350353318</c:v>
                      </c:pt>
                      <c:pt idx="256">
                        <c:v>39.199332777314432</c:v>
                      </c:pt>
                      <c:pt idx="257">
                        <c:v>37.982805081483384</c:v>
                      </c:pt>
                      <c:pt idx="258">
                        <c:v>33.712925432670652</c:v>
                      </c:pt>
                      <c:pt idx="259">
                        <c:v>34.711181770005297</c:v>
                      </c:pt>
                      <c:pt idx="260">
                        <c:v>43.731100255873457</c:v>
                      </c:pt>
                      <c:pt idx="261">
                        <c:v>34.926140781053768</c:v>
                      </c:pt>
                      <c:pt idx="262">
                        <c:v>36.450167973124302</c:v>
                      </c:pt>
                      <c:pt idx="263">
                        <c:v>38.714073339940533</c:v>
                      </c:pt>
                      <c:pt idx="264">
                        <c:v>38.459001253380826</c:v>
                      </c:pt>
                      <c:pt idx="265">
                        <c:v>37.780247074972216</c:v>
                      </c:pt>
                      <c:pt idx="266">
                        <c:v>31.569555967332374</c:v>
                      </c:pt>
                      <c:pt idx="267">
                        <c:v>42.525174283501158</c:v>
                      </c:pt>
                      <c:pt idx="268">
                        <c:v>36.113276175630034</c:v>
                      </c:pt>
                      <c:pt idx="269">
                        <c:v>35.026822341432634</c:v>
                      </c:pt>
                      <c:pt idx="270">
                        <c:v>41.817450743868115</c:v>
                      </c:pt>
                      <c:pt idx="271">
                        <c:v>38.356164383561648</c:v>
                      </c:pt>
                      <c:pt idx="272">
                        <c:v>38.356164383561648</c:v>
                      </c:pt>
                      <c:pt idx="273">
                        <c:v>42.919243249862248</c:v>
                      </c:pt>
                      <c:pt idx="274">
                        <c:v>36.922861346598474</c:v>
                      </c:pt>
                      <c:pt idx="275">
                        <c:v>34.352649659289298</c:v>
                      </c:pt>
                      <c:pt idx="276">
                        <c:v>30.907735535294453</c:v>
                      </c:pt>
                      <c:pt idx="277">
                        <c:v>33.542319749216304</c:v>
                      </c:pt>
                      <c:pt idx="278">
                        <c:v>39.219512195121951</c:v>
                      </c:pt>
                      <c:pt idx="279">
                        <c:v>36.753040719196193</c:v>
                      </c:pt>
                      <c:pt idx="280">
                        <c:v>47.307430129516021</c:v>
                      </c:pt>
                      <c:pt idx="281">
                        <c:v>45.868493608488599</c:v>
                      </c:pt>
                      <c:pt idx="282">
                        <c:v>35.835023664638271</c:v>
                      </c:pt>
                      <c:pt idx="283">
                        <c:v>36.418535863938871</c:v>
                      </c:pt>
                      <c:pt idx="284">
                        <c:v>39.125508231687</c:v>
                      </c:pt>
                      <c:pt idx="285">
                        <c:v>36.837913181999198</c:v>
                      </c:pt>
                      <c:pt idx="286">
                        <c:v>34.575722855024601</c:v>
                      </c:pt>
                      <c:pt idx="287">
                        <c:v>38.820605816374503</c:v>
                      </c:pt>
                      <c:pt idx="288">
                        <c:v>39.330279576686145</c:v>
                      </c:pt>
                      <c:pt idx="289">
                        <c:v>30.512904279647174</c:v>
                      </c:pt>
                      <c:pt idx="290">
                        <c:v>37.350789372352715</c:v>
                      </c:pt>
                      <c:pt idx="291">
                        <c:v>33.172746042670333</c:v>
                      </c:pt>
                      <c:pt idx="292">
                        <c:v>38.388367984780544</c:v>
                      </c:pt>
                      <c:pt idx="293">
                        <c:v>33.155080213903744</c:v>
                      </c:pt>
                      <c:pt idx="294">
                        <c:v>36.167647684561373</c:v>
                      </c:pt>
                      <c:pt idx="295">
                        <c:v>40.013592727890583</c:v>
                      </c:pt>
                      <c:pt idx="296">
                        <c:v>37.230388789668908</c:v>
                      </c:pt>
                      <c:pt idx="297">
                        <c:v>30.445111277819457</c:v>
                      </c:pt>
                      <c:pt idx="298">
                        <c:v>33.236228813559322</c:v>
                      </c:pt>
                      <c:pt idx="299">
                        <c:v>36.927728188885695</c:v>
                      </c:pt>
                      <c:pt idx="300">
                        <c:v>39.341458199700661</c:v>
                      </c:pt>
                      <c:pt idx="301">
                        <c:v>40.417672964909784</c:v>
                      </c:pt>
                      <c:pt idx="302">
                        <c:v>46.134020618556704</c:v>
                      </c:pt>
                      <c:pt idx="303">
                        <c:v>35.2949254961203</c:v>
                      </c:pt>
                      <c:pt idx="304">
                        <c:v>36.618567928124151</c:v>
                      </c:pt>
                      <c:pt idx="305">
                        <c:v>39.886660854402791</c:v>
                      </c:pt>
                      <c:pt idx="306">
                        <c:v>35.965707116470341</c:v>
                      </c:pt>
                      <c:pt idx="307">
                        <c:v>40.886699507389167</c:v>
                      </c:pt>
                      <c:pt idx="308">
                        <c:v>42.31414605675932</c:v>
                      </c:pt>
                      <c:pt idx="309">
                        <c:v>40.165488708843306</c:v>
                      </c:pt>
                      <c:pt idx="310">
                        <c:v>33.287482806052267</c:v>
                      </c:pt>
                      <c:pt idx="311">
                        <c:v>33.309617747881774</c:v>
                      </c:pt>
                      <c:pt idx="312">
                        <c:v>37.552062340454121</c:v>
                      </c:pt>
                      <c:pt idx="313">
                        <c:v>37.596626844694306</c:v>
                      </c:pt>
                      <c:pt idx="314">
                        <c:v>36.273701566364387</c:v>
                      </c:pt>
                      <c:pt idx="315">
                        <c:v>37.414491134999302</c:v>
                      </c:pt>
                      <c:pt idx="316">
                        <c:v>46.247948679695661</c:v>
                      </c:pt>
                      <c:pt idx="317">
                        <c:v>40.283070223189988</c:v>
                      </c:pt>
                      <c:pt idx="318">
                        <c:v>34.962812281482421</c:v>
                      </c:pt>
                      <c:pt idx="319">
                        <c:v>36.933847692527507</c:v>
                      </c:pt>
                      <c:pt idx="320">
                        <c:v>36.649582250930287</c:v>
                      </c:pt>
                      <c:pt idx="321">
                        <c:v>35.269867928849528</c:v>
                      </c:pt>
                      <c:pt idx="322">
                        <c:v>34.427597718736955</c:v>
                      </c:pt>
                      <c:pt idx="323">
                        <c:v>40.274715957266409</c:v>
                      </c:pt>
                      <c:pt idx="324">
                        <c:v>37.207726194510336</c:v>
                      </c:pt>
                      <c:pt idx="325">
                        <c:v>30.432836775142253</c:v>
                      </c:pt>
                      <c:pt idx="326">
                        <c:v>38.67289462838302</c:v>
                      </c:pt>
                      <c:pt idx="327">
                        <c:v>36.306235201262822</c:v>
                      </c:pt>
                      <c:pt idx="328">
                        <c:v>37.196845707484009</c:v>
                      </c:pt>
                      <c:pt idx="329">
                        <c:v>37.073024889752595</c:v>
                      </c:pt>
                      <c:pt idx="330">
                        <c:v>36.235086168802475</c:v>
                      </c:pt>
                      <c:pt idx="331">
                        <c:v>34.662166912746962</c:v>
                      </c:pt>
                      <c:pt idx="332">
                        <c:v>34.798298749838899</c:v>
                      </c:pt>
                      <c:pt idx="333">
                        <c:v>34.698935704913254</c:v>
                      </c:pt>
                      <c:pt idx="334">
                        <c:v>33.032821524158329</c:v>
                      </c:pt>
                      <c:pt idx="335">
                        <c:v>46.531791907514446</c:v>
                      </c:pt>
                      <c:pt idx="336">
                        <c:v>38.866728035184614</c:v>
                      </c:pt>
                      <c:pt idx="337">
                        <c:v>33.32407664537628</c:v>
                      </c:pt>
                      <c:pt idx="338">
                        <c:v>32.731722239216886</c:v>
                      </c:pt>
                      <c:pt idx="339">
                        <c:v>30.205179952909518</c:v>
                      </c:pt>
                      <c:pt idx="340">
                        <c:v>39.186581564494581</c:v>
                      </c:pt>
                      <c:pt idx="341">
                        <c:v>33.536936729284314</c:v>
                      </c:pt>
                      <c:pt idx="342">
                        <c:v>25.433992733144933</c:v>
                      </c:pt>
                      <c:pt idx="343">
                        <c:v>27.742239579826276</c:v>
                      </c:pt>
                      <c:pt idx="344">
                        <c:v>31.196287383980749</c:v>
                      </c:pt>
                      <c:pt idx="345">
                        <c:v>30.313588850174213</c:v>
                      </c:pt>
                      <c:pt idx="346">
                        <c:v>30.616958099637085</c:v>
                      </c:pt>
                      <c:pt idx="347">
                        <c:v>32.12627669452182</c:v>
                      </c:pt>
                      <c:pt idx="348">
                        <c:v>31.076301162203134</c:v>
                      </c:pt>
                      <c:pt idx="349">
                        <c:v>28.402771836769613</c:v>
                      </c:pt>
                      <c:pt idx="350">
                        <c:v>31.969074062710927</c:v>
                      </c:pt>
                      <c:pt idx="351">
                        <c:v>36.634149764895781</c:v>
                      </c:pt>
                      <c:pt idx="352">
                        <c:v>31.914893617021274</c:v>
                      </c:pt>
                      <c:pt idx="353">
                        <c:v>32.036209734305196</c:v>
                      </c:pt>
                      <c:pt idx="354">
                        <c:v>31.826657236546005</c:v>
                      </c:pt>
                      <c:pt idx="355">
                        <c:v>34.616906237636819</c:v>
                      </c:pt>
                      <c:pt idx="356">
                        <c:v>36.00643690492155</c:v>
                      </c:pt>
                      <c:pt idx="357">
                        <c:v>29.319371727748692</c:v>
                      </c:pt>
                      <c:pt idx="358">
                        <c:v>36.989998412446418</c:v>
                      </c:pt>
                      <c:pt idx="359">
                        <c:v>32.238766285562356</c:v>
                      </c:pt>
                      <c:pt idx="360">
                        <c:v>26.729275781108903</c:v>
                      </c:pt>
                      <c:pt idx="361">
                        <c:v>33.062880324543613</c:v>
                      </c:pt>
                      <c:pt idx="362">
                        <c:v>34.213767620090323</c:v>
                      </c:pt>
                      <c:pt idx="363">
                        <c:v>32.699892434564354</c:v>
                      </c:pt>
                      <c:pt idx="364">
                        <c:v>41.607798813224072</c:v>
                      </c:pt>
                      <c:pt idx="365">
                        <c:v>34.305894223492814</c:v>
                      </c:pt>
                      <c:pt idx="366">
                        <c:v>33.297957017776596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1484-4743-B3EE-5C39EB998301}"/>
                  </c:ext>
                </c:extLst>
              </c15:ser>
            </c15:filteredScatterSeries>
          </c:ext>
        </c:extLst>
      </c:scatterChart>
      <c:valAx>
        <c:axId val="818489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489152"/>
        <c:crosses val="autoZero"/>
        <c:crossBetween val="midCat"/>
      </c:valAx>
      <c:valAx>
        <c:axId val="8184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489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bg2">
              <a:lumMod val="50000"/>
            </a:schemeClr>
          </a:solidFill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[Projekt 2 Natalia Mazuch.xlsx]WykresyKPI!Tabela przestawna5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l-PL" sz="11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100" b="1" i="0" u="none" strike="noStrike" kern="1200" cap="all" spc="15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rPr>
              <a:t>Ranking dni wg liczby wypadków</a:t>
            </a:r>
          </a:p>
        </c:rich>
      </c:tx>
      <c:layout>
        <c:manualLayout>
          <c:xMode val="edge"/>
          <c:yMode val="edge"/>
          <c:x val="0.33423818762736707"/>
          <c:y val="7.2317483919660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l-PL" sz="11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E2841">
              <a:lumMod val="50000"/>
              <a:lumOff val="50000"/>
              <a:alpha val="39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WykresyKPI!$E$19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E2841">
                <a:lumMod val="50000"/>
                <a:lumOff val="50000"/>
                <a:alpha val="39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WykresyKPI!$D$20:$D$27</c:f>
              <c:strCache>
                <c:ptCount val="7"/>
                <c:pt idx="0">
                  <c:v>niedziela</c:v>
                </c:pt>
                <c:pt idx="1">
                  <c:v>sobota</c:v>
                </c:pt>
                <c:pt idx="2">
                  <c:v>wtorek</c:v>
                </c:pt>
                <c:pt idx="3">
                  <c:v>środa</c:v>
                </c:pt>
                <c:pt idx="4">
                  <c:v>poniedziałek</c:v>
                </c:pt>
                <c:pt idx="5">
                  <c:v>czwartek</c:v>
                </c:pt>
                <c:pt idx="6">
                  <c:v>piątek</c:v>
                </c:pt>
              </c:strCache>
            </c:strRef>
          </c:cat>
          <c:val>
            <c:numRef>
              <c:f>WykresyKPI!$E$20:$E$27</c:f>
              <c:numCache>
                <c:formatCode>0</c:formatCode>
                <c:ptCount val="7"/>
                <c:pt idx="0">
                  <c:v>46.943396226415096</c:v>
                </c:pt>
                <c:pt idx="1">
                  <c:v>54.735849056603776</c:v>
                </c:pt>
                <c:pt idx="2">
                  <c:v>55.403846153846153</c:v>
                </c:pt>
                <c:pt idx="3">
                  <c:v>58.28846153846154</c:v>
                </c:pt>
                <c:pt idx="4">
                  <c:v>59.962264150943398</c:v>
                </c:pt>
                <c:pt idx="5">
                  <c:v>61.365384615384613</c:v>
                </c:pt>
                <c:pt idx="6">
                  <c:v>64.884615384615387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0-4928-B73A-5D7D37EB39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3209448"/>
        <c:axId val="873205848"/>
      </c:barChart>
      <c:catAx>
        <c:axId val="873209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05848"/>
        <c:crosses val="autoZero"/>
        <c:auto val="1"/>
        <c:lblAlgn val="ctr"/>
        <c:lblOffset val="100"/>
        <c:noMultiLvlLbl val="0"/>
      </c:catAx>
      <c:valAx>
        <c:axId val="87320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0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8E8">
        <a:lumMod val="75000"/>
      </a:srgbClr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 2 Natalia Mazuch.xlsx]WykresyKPI!Tabela przestawna7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WykresyKPI!$K$3</c:f>
              <c:strCache>
                <c:ptCount val="1"/>
                <c:pt idx="0">
                  <c:v>Suma z Zabici w wypadkach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WykresyKPI!$J$4:$J$16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WykresyKPI!$K$4:$K$16</c:f>
              <c:numCache>
                <c:formatCode>General</c:formatCode>
                <c:ptCount val="12"/>
                <c:pt idx="0">
                  <c:v>90</c:v>
                </c:pt>
                <c:pt idx="1">
                  <c:v>93</c:v>
                </c:pt>
                <c:pt idx="2">
                  <c:v>106</c:v>
                </c:pt>
                <c:pt idx="3">
                  <c:v>88</c:v>
                </c:pt>
                <c:pt idx="4">
                  <c:v>131</c:v>
                </c:pt>
                <c:pt idx="5">
                  <c:v>122</c:v>
                </c:pt>
                <c:pt idx="6">
                  <c:v>138</c:v>
                </c:pt>
                <c:pt idx="7">
                  <c:v>162</c:v>
                </c:pt>
                <c:pt idx="8">
                  <c:v>135</c:v>
                </c:pt>
                <c:pt idx="9">
                  <c:v>124</c:v>
                </c:pt>
                <c:pt idx="10">
                  <c:v>106</c:v>
                </c:pt>
                <c:pt idx="1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5-4F1A-9E2A-EDC54D0E87E9}"/>
            </c:ext>
          </c:extLst>
        </c:ser>
        <c:ser>
          <c:idx val="1"/>
          <c:order val="1"/>
          <c:tx>
            <c:strRef>
              <c:f>WykresyKPI!$L$3</c:f>
              <c:strCache>
                <c:ptCount val="1"/>
                <c:pt idx="0">
                  <c:v>Suma z Ranni w wypadkach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WykresyKPI!$J$4:$J$16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WykresyKPI!$L$4:$L$16</c:f>
              <c:numCache>
                <c:formatCode>General</c:formatCode>
                <c:ptCount val="12"/>
                <c:pt idx="0">
                  <c:v>1447</c:v>
                </c:pt>
                <c:pt idx="1">
                  <c:v>1245</c:v>
                </c:pt>
                <c:pt idx="2">
                  <c:v>1673</c:v>
                </c:pt>
                <c:pt idx="3">
                  <c:v>2111</c:v>
                </c:pt>
                <c:pt idx="4">
                  <c:v>2073</c:v>
                </c:pt>
                <c:pt idx="5">
                  <c:v>2491</c:v>
                </c:pt>
                <c:pt idx="6">
                  <c:v>2529</c:v>
                </c:pt>
                <c:pt idx="7">
                  <c:v>2582</c:v>
                </c:pt>
                <c:pt idx="8">
                  <c:v>2335</c:v>
                </c:pt>
                <c:pt idx="9">
                  <c:v>2155</c:v>
                </c:pt>
                <c:pt idx="10">
                  <c:v>1830</c:v>
                </c:pt>
                <c:pt idx="11">
                  <c:v>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5-4F1A-9E2A-EDC54D0E8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893400"/>
        <c:axId val="829889800"/>
      </c:barChart>
      <c:catAx>
        <c:axId val="82989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9889800"/>
        <c:crosses val="autoZero"/>
        <c:auto val="1"/>
        <c:lblAlgn val="ctr"/>
        <c:lblOffset val="100"/>
        <c:noMultiLvlLbl val="0"/>
      </c:catAx>
      <c:valAx>
        <c:axId val="82988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989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Struktura zatrzymań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WykresyKPI!$G$37</c:f>
              <c:strCache>
                <c:ptCount val="1"/>
                <c:pt idx="0">
                  <c:v>Liczba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D6-42CD-BBFE-1EB97237B9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D6-42CD-BBFE-1EB97237B96F}"/>
              </c:ext>
            </c:extLst>
          </c:dPt>
          <c:cat>
            <c:strRef>
              <c:f>WykresyKPI!$F$38:$F$39</c:f>
              <c:strCache>
                <c:ptCount val="2"/>
                <c:pt idx="0">
                  <c:v>Na gorącym uczynku</c:v>
                </c:pt>
                <c:pt idx="1">
                  <c:v>Poszukiwani</c:v>
                </c:pt>
              </c:strCache>
            </c:strRef>
          </c:cat>
          <c:val>
            <c:numRef>
              <c:f>WykresyKPI!$G$38:$G$39</c:f>
              <c:numCache>
                <c:formatCode>General</c:formatCode>
                <c:ptCount val="2"/>
                <c:pt idx="0">
                  <c:v>201081</c:v>
                </c:pt>
                <c:pt idx="1">
                  <c:v>134175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D-4444-A82B-6263B01F8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DanePolicja!$H$2:$H$368</c:f>
              <c:numCache>
                <c:formatCode>General</c:formatCode>
                <c:ptCount val="367"/>
                <c:pt idx="0">
                  <c:v>16235</c:v>
                </c:pt>
                <c:pt idx="1">
                  <c:v>14338</c:v>
                </c:pt>
                <c:pt idx="2">
                  <c:v>16697</c:v>
                </c:pt>
                <c:pt idx="3">
                  <c:v>17506</c:v>
                </c:pt>
                <c:pt idx="4">
                  <c:v>15830</c:v>
                </c:pt>
                <c:pt idx="5">
                  <c:v>15716</c:v>
                </c:pt>
                <c:pt idx="6">
                  <c:v>15395</c:v>
                </c:pt>
                <c:pt idx="7">
                  <c:v>15421</c:v>
                </c:pt>
                <c:pt idx="8">
                  <c:v>13749</c:v>
                </c:pt>
                <c:pt idx="9">
                  <c:v>15768</c:v>
                </c:pt>
                <c:pt idx="10">
                  <c:v>16589</c:v>
                </c:pt>
                <c:pt idx="11">
                  <c:v>16209</c:v>
                </c:pt>
                <c:pt idx="12">
                  <c:v>15528</c:v>
                </c:pt>
                <c:pt idx="13">
                  <c:v>15372</c:v>
                </c:pt>
                <c:pt idx="14">
                  <c:v>15079</c:v>
                </c:pt>
                <c:pt idx="15">
                  <c:v>14087</c:v>
                </c:pt>
                <c:pt idx="16">
                  <c:v>16363</c:v>
                </c:pt>
                <c:pt idx="17">
                  <c:v>16956</c:v>
                </c:pt>
                <c:pt idx="18">
                  <c:v>15262</c:v>
                </c:pt>
                <c:pt idx="19">
                  <c:v>15360</c:v>
                </c:pt>
                <c:pt idx="20">
                  <c:v>15643</c:v>
                </c:pt>
                <c:pt idx="21">
                  <c:v>15917</c:v>
                </c:pt>
                <c:pt idx="22">
                  <c:v>13125</c:v>
                </c:pt>
                <c:pt idx="23">
                  <c:v>16140</c:v>
                </c:pt>
                <c:pt idx="24">
                  <c:v>16673</c:v>
                </c:pt>
                <c:pt idx="25">
                  <c:v>15466</c:v>
                </c:pt>
                <c:pt idx="26">
                  <c:v>15699</c:v>
                </c:pt>
                <c:pt idx="27">
                  <c:v>12934</c:v>
                </c:pt>
                <c:pt idx="28">
                  <c:v>16203</c:v>
                </c:pt>
                <c:pt idx="29">
                  <c:v>13521</c:v>
                </c:pt>
                <c:pt idx="30">
                  <c:v>16895</c:v>
                </c:pt>
                <c:pt idx="31">
                  <c:v>17959</c:v>
                </c:pt>
                <c:pt idx="32">
                  <c:v>16015</c:v>
                </c:pt>
                <c:pt idx="33">
                  <c:v>16018</c:v>
                </c:pt>
                <c:pt idx="34">
                  <c:v>16269</c:v>
                </c:pt>
                <c:pt idx="35">
                  <c:v>15374</c:v>
                </c:pt>
                <c:pt idx="36">
                  <c:v>13601</c:v>
                </c:pt>
                <c:pt idx="37">
                  <c:v>15985</c:v>
                </c:pt>
                <c:pt idx="38">
                  <c:v>21130</c:v>
                </c:pt>
                <c:pt idx="39">
                  <c:v>17070</c:v>
                </c:pt>
                <c:pt idx="40">
                  <c:v>16496</c:v>
                </c:pt>
                <c:pt idx="41">
                  <c:v>15715</c:v>
                </c:pt>
                <c:pt idx="42">
                  <c:v>15858</c:v>
                </c:pt>
                <c:pt idx="43">
                  <c:v>13779</c:v>
                </c:pt>
                <c:pt idx="44">
                  <c:v>16565</c:v>
                </c:pt>
                <c:pt idx="45">
                  <c:v>16968</c:v>
                </c:pt>
                <c:pt idx="46">
                  <c:v>16718</c:v>
                </c:pt>
                <c:pt idx="47">
                  <c:v>16172</c:v>
                </c:pt>
                <c:pt idx="48">
                  <c:v>15560</c:v>
                </c:pt>
                <c:pt idx="49">
                  <c:v>16005</c:v>
                </c:pt>
                <c:pt idx="50">
                  <c:v>13668</c:v>
                </c:pt>
                <c:pt idx="51">
                  <c:v>15605</c:v>
                </c:pt>
                <c:pt idx="52">
                  <c:v>17285</c:v>
                </c:pt>
                <c:pt idx="53">
                  <c:v>15786</c:v>
                </c:pt>
                <c:pt idx="54">
                  <c:v>16349</c:v>
                </c:pt>
                <c:pt idx="55">
                  <c:v>14779</c:v>
                </c:pt>
                <c:pt idx="56">
                  <c:v>15808</c:v>
                </c:pt>
                <c:pt idx="57">
                  <c:v>13796</c:v>
                </c:pt>
                <c:pt idx="58">
                  <c:v>16534</c:v>
                </c:pt>
                <c:pt idx="59">
                  <c:v>17553</c:v>
                </c:pt>
                <c:pt idx="60">
                  <c:v>16148</c:v>
                </c:pt>
                <c:pt idx="61">
                  <c:v>15705</c:v>
                </c:pt>
                <c:pt idx="62">
                  <c:v>15217</c:v>
                </c:pt>
                <c:pt idx="63">
                  <c:v>15005</c:v>
                </c:pt>
                <c:pt idx="64">
                  <c:v>12802</c:v>
                </c:pt>
                <c:pt idx="65">
                  <c:v>15449</c:v>
                </c:pt>
                <c:pt idx="66">
                  <c:v>16745</c:v>
                </c:pt>
                <c:pt idx="67">
                  <c:v>15468</c:v>
                </c:pt>
                <c:pt idx="68">
                  <c:v>15077</c:v>
                </c:pt>
                <c:pt idx="69">
                  <c:v>13676</c:v>
                </c:pt>
                <c:pt idx="70">
                  <c:v>14702</c:v>
                </c:pt>
                <c:pt idx="71">
                  <c:v>13084</c:v>
                </c:pt>
                <c:pt idx="72">
                  <c:v>16373</c:v>
                </c:pt>
                <c:pt idx="73">
                  <c:v>16168</c:v>
                </c:pt>
                <c:pt idx="74">
                  <c:v>14922</c:v>
                </c:pt>
                <c:pt idx="75">
                  <c:v>14975</c:v>
                </c:pt>
                <c:pt idx="76">
                  <c:v>14995</c:v>
                </c:pt>
                <c:pt idx="77">
                  <c:v>16069</c:v>
                </c:pt>
                <c:pt idx="78">
                  <c:v>16269</c:v>
                </c:pt>
                <c:pt idx="79">
                  <c:v>16676</c:v>
                </c:pt>
                <c:pt idx="80">
                  <c:v>17423</c:v>
                </c:pt>
                <c:pt idx="81">
                  <c:v>15813</c:v>
                </c:pt>
                <c:pt idx="82">
                  <c:v>14940</c:v>
                </c:pt>
                <c:pt idx="83">
                  <c:v>15031</c:v>
                </c:pt>
                <c:pt idx="84">
                  <c:v>15522</c:v>
                </c:pt>
                <c:pt idx="85">
                  <c:v>13757</c:v>
                </c:pt>
                <c:pt idx="86">
                  <c:v>17461</c:v>
                </c:pt>
                <c:pt idx="87">
                  <c:v>18277</c:v>
                </c:pt>
                <c:pt idx="88">
                  <c:v>16052</c:v>
                </c:pt>
                <c:pt idx="89">
                  <c:v>16648</c:v>
                </c:pt>
                <c:pt idx="90">
                  <c:v>15912</c:v>
                </c:pt>
                <c:pt idx="91">
                  <c:v>15920</c:v>
                </c:pt>
                <c:pt idx="92">
                  <c:v>14848</c:v>
                </c:pt>
                <c:pt idx="93">
                  <c:v>17483</c:v>
                </c:pt>
                <c:pt idx="94">
                  <c:v>18669</c:v>
                </c:pt>
                <c:pt idx="95">
                  <c:v>16742</c:v>
                </c:pt>
                <c:pt idx="96">
                  <c:v>16321</c:v>
                </c:pt>
                <c:pt idx="97">
                  <c:v>16710</c:v>
                </c:pt>
                <c:pt idx="98">
                  <c:v>16679</c:v>
                </c:pt>
                <c:pt idx="99">
                  <c:v>16762</c:v>
                </c:pt>
                <c:pt idx="100">
                  <c:v>18664</c:v>
                </c:pt>
                <c:pt idx="101">
                  <c:v>18006</c:v>
                </c:pt>
                <c:pt idx="102">
                  <c:v>16583</c:v>
                </c:pt>
                <c:pt idx="103">
                  <c:v>15281</c:v>
                </c:pt>
                <c:pt idx="104">
                  <c:v>15460</c:v>
                </c:pt>
                <c:pt idx="105">
                  <c:v>14729</c:v>
                </c:pt>
                <c:pt idx="106">
                  <c:v>13014</c:v>
                </c:pt>
                <c:pt idx="107">
                  <c:v>15419</c:v>
                </c:pt>
                <c:pt idx="108">
                  <c:v>16515</c:v>
                </c:pt>
                <c:pt idx="109">
                  <c:v>16439</c:v>
                </c:pt>
                <c:pt idx="110">
                  <c:v>16418</c:v>
                </c:pt>
                <c:pt idx="111">
                  <c:v>16235</c:v>
                </c:pt>
                <c:pt idx="112">
                  <c:v>16482</c:v>
                </c:pt>
                <c:pt idx="113">
                  <c:v>16179</c:v>
                </c:pt>
                <c:pt idx="114">
                  <c:v>19030</c:v>
                </c:pt>
                <c:pt idx="115">
                  <c:v>18001</c:v>
                </c:pt>
                <c:pt idx="116">
                  <c:v>19330</c:v>
                </c:pt>
                <c:pt idx="117">
                  <c:v>17151</c:v>
                </c:pt>
                <c:pt idx="118">
                  <c:v>16906</c:v>
                </c:pt>
                <c:pt idx="119">
                  <c:v>16667</c:v>
                </c:pt>
                <c:pt idx="120">
                  <c:v>15964</c:v>
                </c:pt>
                <c:pt idx="121">
                  <c:v>18858</c:v>
                </c:pt>
                <c:pt idx="122">
                  <c:v>17525</c:v>
                </c:pt>
                <c:pt idx="123">
                  <c:v>16071</c:v>
                </c:pt>
                <c:pt idx="124">
                  <c:v>15254</c:v>
                </c:pt>
                <c:pt idx="125">
                  <c:v>15374</c:v>
                </c:pt>
                <c:pt idx="126">
                  <c:v>15597</c:v>
                </c:pt>
                <c:pt idx="127">
                  <c:v>15008</c:v>
                </c:pt>
                <c:pt idx="128">
                  <c:v>17935</c:v>
                </c:pt>
                <c:pt idx="129">
                  <c:v>16677</c:v>
                </c:pt>
                <c:pt idx="130">
                  <c:v>16414</c:v>
                </c:pt>
                <c:pt idx="131">
                  <c:v>16561</c:v>
                </c:pt>
                <c:pt idx="132">
                  <c:v>16385</c:v>
                </c:pt>
                <c:pt idx="133">
                  <c:v>15698</c:v>
                </c:pt>
                <c:pt idx="134">
                  <c:v>16037</c:v>
                </c:pt>
                <c:pt idx="135">
                  <c:v>18388</c:v>
                </c:pt>
                <c:pt idx="136">
                  <c:v>18421</c:v>
                </c:pt>
                <c:pt idx="137">
                  <c:v>17014</c:v>
                </c:pt>
                <c:pt idx="138">
                  <c:v>16544</c:v>
                </c:pt>
                <c:pt idx="139">
                  <c:v>16659</c:v>
                </c:pt>
                <c:pt idx="140">
                  <c:v>17325</c:v>
                </c:pt>
                <c:pt idx="141">
                  <c:v>16633</c:v>
                </c:pt>
                <c:pt idx="142">
                  <c:v>18884</c:v>
                </c:pt>
                <c:pt idx="143">
                  <c:v>17659</c:v>
                </c:pt>
                <c:pt idx="144">
                  <c:v>16039</c:v>
                </c:pt>
                <c:pt idx="145">
                  <c:v>16121</c:v>
                </c:pt>
                <c:pt idx="146">
                  <c:v>16693</c:v>
                </c:pt>
                <c:pt idx="147">
                  <c:v>16961</c:v>
                </c:pt>
                <c:pt idx="148">
                  <c:v>15231</c:v>
                </c:pt>
                <c:pt idx="149">
                  <c:v>17171</c:v>
                </c:pt>
                <c:pt idx="150">
                  <c:v>17020</c:v>
                </c:pt>
                <c:pt idx="151">
                  <c:v>15884</c:v>
                </c:pt>
                <c:pt idx="152">
                  <c:v>15161</c:v>
                </c:pt>
                <c:pt idx="153">
                  <c:v>15679</c:v>
                </c:pt>
                <c:pt idx="154">
                  <c:v>16819</c:v>
                </c:pt>
                <c:pt idx="155">
                  <c:v>17000</c:v>
                </c:pt>
                <c:pt idx="156">
                  <c:v>18356</c:v>
                </c:pt>
                <c:pt idx="157">
                  <c:v>17782</c:v>
                </c:pt>
                <c:pt idx="158">
                  <c:v>17446</c:v>
                </c:pt>
                <c:pt idx="159">
                  <c:v>17530</c:v>
                </c:pt>
                <c:pt idx="160">
                  <c:v>17113</c:v>
                </c:pt>
                <c:pt idx="161">
                  <c:v>16932</c:v>
                </c:pt>
                <c:pt idx="162">
                  <c:v>17157</c:v>
                </c:pt>
                <c:pt idx="163">
                  <c:v>19015</c:v>
                </c:pt>
                <c:pt idx="164">
                  <c:v>18575</c:v>
                </c:pt>
                <c:pt idx="165">
                  <c:v>17400</c:v>
                </c:pt>
                <c:pt idx="166">
                  <c:v>16351</c:v>
                </c:pt>
                <c:pt idx="167">
                  <c:v>16002</c:v>
                </c:pt>
                <c:pt idx="168">
                  <c:v>17094</c:v>
                </c:pt>
                <c:pt idx="169">
                  <c:v>15767</c:v>
                </c:pt>
                <c:pt idx="170">
                  <c:v>17237</c:v>
                </c:pt>
                <c:pt idx="171">
                  <c:v>17430</c:v>
                </c:pt>
                <c:pt idx="172">
                  <c:v>15023</c:v>
                </c:pt>
                <c:pt idx="173">
                  <c:v>17983</c:v>
                </c:pt>
                <c:pt idx="174">
                  <c:v>16560</c:v>
                </c:pt>
                <c:pt idx="175">
                  <c:v>15999</c:v>
                </c:pt>
                <c:pt idx="176">
                  <c:v>15997</c:v>
                </c:pt>
                <c:pt idx="177">
                  <c:v>17739</c:v>
                </c:pt>
                <c:pt idx="178">
                  <c:v>17711</c:v>
                </c:pt>
                <c:pt idx="179">
                  <c:v>16286</c:v>
                </c:pt>
                <c:pt idx="180">
                  <c:v>14847</c:v>
                </c:pt>
                <c:pt idx="181">
                  <c:v>15284</c:v>
                </c:pt>
                <c:pt idx="182">
                  <c:v>14852</c:v>
                </c:pt>
                <c:pt idx="183">
                  <c:v>13512</c:v>
                </c:pt>
                <c:pt idx="184">
                  <c:v>17108</c:v>
                </c:pt>
                <c:pt idx="185">
                  <c:v>18579</c:v>
                </c:pt>
                <c:pt idx="186">
                  <c:v>17048</c:v>
                </c:pt>
                <c:pt idx="187">
                  <c:v>17127</c:v>
                </c:pt>
                <c:pt idx="188">
                  <c:v>16683</c:v>
                </c:pt>
                <c:pt idx="189">
                  <c:v>16668</c:v>
                </c:pt>
                <c:pt idx="190">
                  <c:v>18083</c:v>
                </c:pt>
                <c:pt idx="191">
                  <c:v>18363</c:v>
                </c:pt>
                <c:pt idx="192">
                  <c:v>17435</c:v>
                </c:pt>
                <c:pt idx="193">
                  <c:v>15531</c:v>
                </c:pt>
                <c:pt idx="194">
                  <c:v>15774</c:v>
                </c:pt>
                <c:pt idx="195">
                  <c:v>16361</c:v>
                </c:pt>
                <c:pt idx="196">
                  <c:v>15704</c:v>
                </c:pt>
                <c:pt idx="197">
                  <c:v>14363</c:v>
                </c:pt>
                <c:pt idx="198">
                  <c:v>16838</c:v>
                </c:pt>
                <c:pt idx="199">
                  <c:v>16999</c:v>
                </c:pt>
                <c:pt idx="200">
                  <c:v>16139</c:v>
                </c:pt>
                <c:pt idx="201">
                  <c:v>16407</c:v>
                </c:pt>
                <c:pt idx="202">
                  <c:v>16262</c:v>
                </c:pt>
                <c:pt idx="203">
                  <c:v>14882</c:v>
                </c:pt>
                <c:pt idx="204">
                  <c:v>14256</c:v>
                </c:pt>
                <c:pt idx="205">
                  <c:v>15515</c:v>
                </c:pt>
                <c:pt idx="206">
                  <c:v>15799</c:v>
                </c:pt>
                <c:pt idx="207">
                  <c:v>15400</c:v>
                </c:pt>
                <c:pt idx="208">
                  <c:v>15443</c:v>
                </c:pt>
                <c:pt idx="209">
                  <c:v>15284</c:v>
                </c:pt>
                <c:pt idx="210">
                  <c:v>15899</c:v>
                </c:pt>
                <c:pt idx="211">
                  <c:v>13436</c:v>
                </c:pt>
                <c:pt idx="212">
                  <c:v>15984</c:v>
                </c:pt>
                <c:pt idx="213">
                  <c:v>16596</c:v>
                </c:pt>
                <c:pt idx="214">
                  <c:v>15359</c:v>
                </c:pt>
                <c:pt idx="215">
                  <c:v>14965</c:v>
                </c:pt>
                <c:pt idx="216">
                  <c:v>14804</c:v>
                </c:pt>
                <c:pt idx="217">
                  <c:v>14858</c:v>
                </c:pt>
                <c:pt idx="218">
                  <c:v>12876</c:v>
                </c:pt>
                <c:pt idx="219">
                  <c:v>15383</c:v>
                </c:pt>
                <c:pt idx="220">
                  <c:v>17498</c:v>
                </c:pt>
                <c:pt idx="221">
                  <c:v>15911</c:v>
                </c:pt>
                <c:pt idx="222">
                  <c:v>17970</c:v>
                </c:pt>
                <c:pt idx="223">
                  <c:v>15104</c:v>
                </c:pt>
                <c:pt idx="224">
                  <c:v>15846</c:v>
                </c:pt>
                <c:pt idx="225">
                  <c:v>13863</c:v>
                </c:pt>
                <c:pt idx="226">
                  <c:v>16036</c:v>
                </c:pt>
                <c:pt idx="227">
                  <c:v>16661</c:v>
                </c:pt>
                <c:pt idx="228">
                  <c:v>16159</c:v>
                </c:pt>
                <c:pt idx="229">
                  <c:v>16424</c:v>
                </c:pt>
                <c:pt idx="230">
                  <c:v>17036</c:v>
                </c:pt>
                <c:pt idx="231">
                  <c:v>14820</c:v>
                </c:pt>
                <c:pt idx="232">
                  <c:v>14677</c:v>
                </c:pt>
                <c:pt idx="233">
                  <c:v>17338</c:v>
                </c:pt>
                <c:pt idx="234">
                  <c:v>20180</c:v>
                </c:pt>
                <c:pt idx="235">
                  <c:v>19072</c:v>
                </c:pt>
                <c:pt idx="236">
                  <c:v>18187</c:v>
                </c:pt>
                <c:pt idx="237">
                  <c:v>16464</c:v>
                </c:pt>
                <c:pt idx="238">
                  <c:v>17465</c:v>
                </c:pt>
                <c:pt idx="239">
                  <c:v>16025</c:v>
                </c:pt>
                <c:pt idx="240">
                  <c:v>17268</c:v>
                </c:pt>
                <c:pt idx="241">
                  <c:v>16358</c:v>
                </c:pt>
                <c:pt idx="242">
                  <c:v>15421</c:v>
                </c:pt>
                <c:pt idx="243">
                  <c:v>15966</c:v>
                </c:pt>
                <c:pt idx="244">
                  <c:v>15032</c:v>
                </c:pt>
                <c:pt idx="245">
                  <c:v>14786</c:v>
                </c:pt>
                <c:pt idx="246">
                  <c:v>11595</c:v>
                </c:pt>
                <c:pt idx="247">
                  <c:v>15960</c:v>
                </c:pt>
                <c:pt idx="248">
                  <c:v>18267</c:v>
                </c:pt>
                <c:pt idx="249">
                  <c:v>16656</c:v>
                </c:pt>
                <c:pt idx="250">
                  <c:v>15894</c:v>
                </c:pt>
                <c:pt idx="251">
                  <c:v>15362</c:v>
                </c:pt>
                <c:pt idx="252">
                  <c:v>15040</c:v>
                </c:pt>
                <c:pt idx="253">
                  <c:v>12916</c:v>
                </c:pt>
                <c:pt idx="254">
                  <c:v>17056</c:v>
                </c:pt>
                <c:pt idx="255">
                  <c:v>17548</c:v>
                </c:pt>
                <c:pt idx="256">
                  <c:v>15587</c:v>
                </c:pt>
                <c:pt idx="257">
                  <c:v>15586</c:v>
                </c:pt>
                <c:pt idx="258">
                  <c:v>15543</c:v>
                </c:pt>
                <c:pt idx="259">
                  <c:v>15096</c:v>
                </c:pt>
                <c:pt idx="260">
                  <c:v>12897</c:v>
                </c:pt>
                <c:pt idx="261">
                  <c:v>16721</c:v>
                </c:pt>
                <c:pt idx="262">
                  <c:v>17860</c:v>
                </c:pt>
                <c:pt idx="263">
                  <c:v>16144</c:v>
                </c:pt>
                <c:pt idx="264">
                  <c:v>15159</c:v>
                </c:pt>
                <c:pt idx="265">
                  <c:v>15299</c:v>
                </c:pt>
                <c:pt idx="266">
                  <c:v>14571</c:v>
                </c:pt>
                <c:pt idx="267">
                  <c:v>12910</c:v>
                </c:pt>
                <c:pt idx="268">
                  <c:v>15396</c:v>
                </c:pt>
                <c:pt idx="269">
                  <c:v>15845</c:v>
                </c:pt>
                <c:pt idx="270">
                  <c:v>14922</c:v>
                </c:pt>
                <c:pt idx="271">
                  <c:v>15695</c:v>
                </c:pt>
                <c:pt idx="272">
                  <c:v>15695</c:v>
                </c:pt>
                <c:pt idx="273">
                  <c:v>16333</c:v>
                </c:pt>
                <c:pt idx="274">
                  <c:v>14273</c:v>
                </c:pt>
                <c:pt idx="275">
                  <c:v>17757</c:v>
                </c:pt>
                <c:pt idx="276">
                  <c:v>17439</c:v>
                </c:pt>
                <c:pt idx="277">
                  <c:v>15950</c:v>
                </c:pt>
                <c:pt idx="278">
                  <c:v>15375</c:v>
                </c:pt>
                <c:pt idx="279">
                  <c:v>15128</c:v>
                </c:pt>
                <c:pt idx="280">
                  <c:v>14670</c:v>
                </c:pt>
                <c:pt idx="281">
                  <c:v>11969</c:v>
                </c:pt>
                <c:pt idx="282">
                  <c:v>14790</c:v>
                </c:pt>
                <c:pt idx="283">
                  <c:v>16228</c:v>
                </c:pt>
                <c:pt idx="284">
                  <c:v>15003</c:v>
                </c:pt>
                <c:pt idx="285">
                  <c:v>15066</c:v>
                </c:pt>
                <c:pt idx="286">
                  <c:v>14837</c:v>
                </c:pt>
                <c:pt idx="287">
                  <c:v>14889</c:v>
                </c:pt>
                <c:pt idx="288">
                  <c:v>12662</c:v>
                </c:pt>
                <c:pt idx="289">
                  <c:v>15305</c:v>
                </c:pt>
                <c:pt idx="290">
                  <c:v>15582</c:v>
                </c:pt>
                <c:pt idx="291">
                  <c:v>14530</c:v>
                </c:pt>
                <c:pt idx="292">
                  <c:v>14718</c:v>
                </c:pt>
                <c:pt idx="293">
                  <c:v>14025</c:v>
                </c:pt>
                <c:pt idx="294">
                  <c:v>14101</c:v>
                </c:pt>
                <c:pt idx="295">
                  <c:v>11771</c:v>
                </c:pt>
                <c:pt idx="296">
                  <c:v>14558</c:v>
                </c:pt>
                <c:pt idx="297">
                  <c:v>15996</c:v>
                </c:pt>
                <c:pt idx="298">
                  <c:v>15104</c:v>
                </c:pt>
                <c:pt idx="299">
                  <c:v>13892</c:v>
                </c:pt>
                <c:pt idx="300">
                  <c:v>14031</c:v>
                </c:pt>
                <c:pt idx="301">
                  <c:v>14078</c:v>
                </c:pt>
                <c:pt idx="302">
                  <c:v>11640</c:v>
                </c:pt>
                <c:pt idx="303">
                  <c:v>14563</c:v>
                </c:pt>
                <c:pt idx="304">
                  <c:v>14692</c:v>
                </c:pt>
                <c:pt idx="305">
                  <c:v>13764</c:v>
                </c:pt>
                <c:pt idx="306">
                  <c:v>14347</c:v>
                </c:pt>
                <c:pt idx="307">
                  <c:v>14210</c:v>
                </c:pt>
                <c:pt idx="308">
                  <c:v>13707</c:v>
                </c:pt>
                <c:pt idx="309">
                  <c:v>11602</c:v>
                </c:pt>
                <c:pt idx="310">
                  <c:v>14540</c:v>
                </c:pt>
                <c:pt idx="311">
                  <c:v>15461</c:v>
                </c:pt>
                <c:pt idx="312">
                  <c:v>14886</c:v>
                </c:pt>
                <c:pt idx="313">
                  <c:v>14230</c:v>
                </c:pt>
                <c:pt idx="314">
                  <c:v>14556</c:v>
                </c:pt>
                <c:pt idx="315">
                  <c:v>14326</c:v>
                </c:pt>
                <c:pt idx="316">
                  <c:v>13406</c:v>
                </c:pt>
                <c:pt idx="317">
                  <c:v>14696</c:v>
                </c:pt>
                <c:pt idx="318">
                  <c:v>15731</c:v>
                </c:pt>
                <c:pt idx="319">
                  <c:v>13998</c:v>
                </c:pt>
                <c:pt idx="320">
                  <c:v>14243</c:v>
                </c:pt>
                <c:pt idx="321">
                  <c:v>13099</c:v>
                </c:pt>
                <c:pt idx="322">
                  <c:v>14378</c:v>
                </c:pt>
                <c:pt idx="323">
                  <c:v>11794</c:v>
                </c:pt>
                <c:pt idx="324">
                  <c:v>14755</c:v>
                </c:pt>
                <c:pt idx="325">
                  <c:v>15641</c:v>
                </c:pt>
                <c:pt idx="326">
                  <c:v>14558</c:v>
                </c:pt>
                <c:pt idx="327">
                  <c:v>13937</c:v>
                </c:pt>
                <c:pt idx="328">
                  <c:v>13442</c:v>
                </c:pt>
                <c:pt idx="329">
                  <c:v>13379</c:v>
                </c:pt>
                <c:pt idx="330">
                  <c:v>11315</c:v>
                </c:pt>
                <c:pt idx="331">
                  <c:v>14223</c:v>
                </c:pt>
                <c:pt idx="332">
                  <c:v>15518</c:v>
                </c:pt>
                <c:pt idx="333">
                  <c:v>13718</c:v>
                </c:pt>
                <c:pt idx="334">
                  <c:v>14198</c:v>
                </c:pt>
                <c:pt idx="335">
                  <c:v>13840</c:v>
                </c:pt>
                <c:pt idx="336">
                  <c:v>9777</c:v>
                </c:pt>
                <c:pt idx="337">
                  <c:v>10803</c:v>
                </c:pt>
                <c:pt idx="338">
                  <c:v>13076</c:v>
                </c:pt>
                <c:pt idx="339">
                  <c:v>14865</c:v>
                </c:pt>
                <c:pt idx="340">
                  <c:v>13474</c:v>
                </c:pt>
                <c:pt idx="341">
                  <c:v>17354</c:v>
                </c:pt>
                <c:pt idx="342">
                  <c:v>14862</c:v>
                </c:pt>
                <c:pt idx="343">
                  <c:v>14851</c:v>
                </c:pt>
                <c:pt idx="344">
                  <c:v>11636</c:v>
                </c:pt>
                <c:pt idx="345">
                  <c:v>14350</c:v>
                </c:pt>
                <c:pt idx="346">
                  <c:v>15155</c:v>
                </c:pt>
                <c:pt idx="347">
                  <c:v>10770</c:v>
                </c:pt>
                <c:pt idx="348">
                  <c:v>11874</c:v>
                </c:pt>
                <c:pt idx="349">
                  <c:v>11689</c:v>
                </c:pt>
                <c:pt idx="350">
                  <c:v>16297</c:v>
                </c:pt>
                <c:pt idx="351">
                  <c:v>14249</c:v>
                </c:pt>
                <c:pt idx="352">
                  <c:v>16732</c:v>
                </c:pt>
                <c:pt idx="353">
                  <c:v>17012</c:v>
                </c:pt>
                <c:pt idx="354">
                  <c:v>15553</c:v>
                </c:pt>
                <c:pt idx="355">
                  <c:v>15166</c:v>
                </c:pt>
                <c:pt idx="356">
                  <c:v>14914</c:v>
                </c:pt>
                <c:pt idx="357">
                  <c:v>15280</c:v>
                </c:pt>
                <c:pt idx="358">
                  <c:v>12598</c:v>
                </c:pt>
                <c:pt idx="359">
                  <c:v>15044</c:v>
                </c:pt>
                <c:pt idx="360">
                  <c:v>16611</c:v>
                </c:pt>
                <c:pt idx="361">
                  <c:v>14790</c:v>
                </c:pt>
                <c:pt idx="362">
                  <c:v>14614</c:v>
                </c:pt>
                <c:pt idx="363">
                  <c:v>13945</c:v>
                </c:pt>
                <c:pt idx="364">
                  <c:v>14156</c:v>
                </c:pt>
                <c:pt idx="365">
                  <c:v>11893</c:v>
                </c:pt>
                <c:pt idx="366">
                  <c:v>15076</c:v>
                </c:pt>
              </c:numCache>
            </c:numRef>
          </c:xVal>
          <c:yVal>
            <c:numRef>
              <c:f>DanePolicja!$G$2:$G$368</c:f>
              <c:numCache>
                <c:formatCode>0</c:formatCode>
                <c:ptCount val="367"/>
                <c:pt idx="0">
                  <c:v>31.659993840468122</c:v>
                </c:pt>
                <c:pt idx="1">
                  <c:v>35.918538150369649</c:v>
                </c:pt>
                <c:pt idx="2">
                  <c:v>30.783973168832723</c:v>
                </c:pt>
                <c:pt idx="3">
                  <c:v>26.219581857648805</c:v>
                </c:pt>
                <c:pt idx="4">
                  <c:v>30.448515476942514</c:v>
                </c:pt>
                <c:pt idx="5">
                  <c:v>27.169763298549253</c:v>
                </c:pt>
                <c:pt idx="6">
                  <c:v>28.905488795063331</c:v>
                </c:pt>
                <c:pt idx="7">
                  <c:v>44.41994682575708</c:v>
                </c:pt>
                <c:pt idx="8">
                  <c:v>38.693723179867625</c:v>
                </c:pt>
                <c:pt idx="9">
                  <c:v>34.246575342465754</c:v>
                </c:pt>
                <c:pt idx="10">
                  <c:v>24.474049068659955</c:v>
                </c:pt>
                <c:pt idx="11">
                  <c:v>25.664754148929607</c:v>
                </c:pt>
                <c:pt idx="12">
                  <c:v>26.532715095311694</c:v>
                </c:pt>
                <c:pt idx="13">
                  <c:v>26.867030965391621</c:v>
                </c:pt>
                <c:pt idx="14">
                  <c:v>29.710192983619603</c:v>
                </c:pt>
                <c:pt idx="15">
                  <c:v>29.672747923617518</c:v>
                </c:pt>
                <c:pt idx="16">
                  <c:v>28.295544826743264</c:v>
                </c:pt>
                <c:pt idx="17">
                  <c:v>24.5930644019816</c:v>
                </c:pt>
                <c:pt idx="18">
                  <c:v>30.40230638186345</c:v>
                </c:pt>
                <c:pt idx="19">
                  <c:v>29.947916666666668</c:v>
                </c:pt>
                <c:pt idx="20">
                  <c:v>31.579620277440387</c:v>
                </c:pt>
                <c:pt idx="21">
                  <c:v>31.287302883709241</c:v>
                </c:pt>
                <c:pt idx="22">
                  <c:v>37.866666666666667</c:v>
                </c:pt>
                <c:pt idx="23">
                  <c:v>32.899628252788105</c:v>
                </c:pt>
                <c:pt idx="24">
                  <c:v>29.508786661068797</c:v>
                </c:pt>
                <c:pt idx="25">
                  <c:v>33.363507047717576</c:v>
                </c:pt>
                <c:pt idx="26">
                  <c:v>40.193642907191538</c:v>
                </c:pt>
                <c:pt idx="27">
                  <c:v>44.688418122777179</c:v>
                </c:pt>
                <c:pt idx="28">
                  <c:v>32.833425908782324</c:v>
                </c:pt>
                <c:pt idx="29">
                  <c:v>42.526440352044965</c:v>
                </c:pt>
                <c:pt idx="30">
                  <c:v>35.099141757916541</c:v>
                </c:pt>
                <c:pt idx="31">
                  <c:v>30.346901275126676</c:v>
                </c:pt>
                <c:pt idx="32">
                  <c:v>34.655010927255695</c:v>
                </c:pt>
                <c:pt idx="33">
                  <c:v>33.649644150330879</c:v>
                </c:pt>
                <c:pt idx="34">
                  <c:v>30.979162825004611</c:v>
                </c:pt>
                <c:pt idx="35">
                  <c:v>41.56367893846754</c:v>
                </c:pt>
                <c:pt idx="36">
                  <c:v>40.364679067715613</c:v>
                </c:pt>
                <c:pt idx="37">
                  <c:v>34.59493274945261</c:v>
                </c:pt>
                <c:pt idx="38">
                  <c:v>27.401798390913392</c:v>
                </c:pt>
                <c:pt idx="39">
                  <c:v>30.872876391329818</c:v>
                </c:pt>
                <c:pt idx="40">
                  <c:v>33.947623666343361</c:v>
                </c:pt>
                <c:pt idx="41">
                  <c:v>29.080496341075406</c:v>
                </c:pt>
                <c:pt idx="42">
                  <c:v>36.511539916761251</c:v>
                </c:pt>
                <c:pt idx="43">
                  <c:v>35.198490456491761</c:v>
                </c:pt>
                <c:pt idx="44">
                  <c:v>34.349532146091157</c:v>
                </c:pt>
                <c:pt idx="45">
                  <c:v>33.180103724658181</c:v>
                </c:pt>
                <c:pt idx="46">
                  <c:v>37.384854647685131</c:v>
                </c:pt>
                <c:pt idx="47">
                  <c:v>33.143705169428642</c:v>
                </c:pt>
                <c:pt idx="48">
                  <c:v>34.575835475578408</c:v>
                </c:pt>
                <c:pt idx="49">
                  <c:v>38.425492033739452</c:v>
                </c:pt>
                <c:pt idx="50">
                  <c:v>40.386303775241437</c:v>
                </c:pt>
                <c:pt idx="51">
                  <c:v>34.540211470682472</c:v>
                </c:pt>
                <c:pt idx="52">
                  <c:v>35.927104425802717</c:v>
                </c:pt>
                <c:pt idx="53">
                  <c:v>38.261750918535412</c:v>
                </c:pt>
                <c:pt idx="54">
                  <c:v>35.353844271820911</c:v>
                </c:pt>
                <c:pt idx="55">
                  <c:v>35.252723458962045</c:v>
                </c:pt>
                <c:pt idx="56">
                  <c:v>48.836032388663973</c:v>
                </c:pt>
                <c:pt idx="57">
                  <c:v>39.649173673528566</c:v>
                </c:pt>
                <c:pt idx="58">
                  <c:v>37.619450828595625</c:v>
                </c:pt>
                <c:pt idx="59">
                  <c:v>34.125220759984046</c:v>
                </c:pt>
                <c:pt idx="60">
                  <c:v>38.023284617290066</c:v>
                </c:pt>
                <c:pt idx="61">
                  <c:v>38.777459407831898</c:v>
                </c:pt>
                <c:pt idx="62">
                  <c:v>35.420910823421174</c:v>
                </c:pt>
                <c:pt idx="63">
                  <c:v>32.655781406197931</c:v>
                </c:pt>
                <c:pt idx="64">
                  <c:v>39.05639743790033</c:v>
                </c:pt>
                <c:pt idx="65">
                  <c:v>35.536280665415241</c:v>
                </c:pt>
                <c:pt idx="66">
                  <c:v>32.965064198268138</c:v>
                </c:pt>
                <c:pt idx="67">
                  <c:v>37.949314714248771</c:v>
                </c:pt>
                <c:pt idx="68">
                  <c:v>37.540624792730647</c:v>
                </c:pt>
                <c:pt idx="69">
                  <c:v>35.390465048259728</c:v>
                </c:pt>
                <c:pt idx="70">
                  <c:v>36.049517072507143</c:v>
                </c:pt>
                <c:pt idx="71">
                  <c:v>38.673188627331093</c:v>
                </c:pt>
                <c:pt idx="72">
                  <c:v>36.034935564649118</c:v>
                </c:pt>
                <c:pt idx="73">
                  <c:v>30.987135081642752</c:v>
                </c:pt>
                <c:pt idx="74">
                  <c:v>33.37354242058705</c:v>
                </c:pt>
                <c:pt idx="75">
                  <c:v>31.853088480801336</c:v>
                </c:pt>
                <c:pt idx="76">
                  <c:v>33.944648216072025</c:v>
                </c:pt>
                <c:pt idx="77">
                  <c:v>41.197336486402392</c:v>
                </c:pt>
                <c:pt idx="78">
                  <c:v>37.371688487307146</c:v>
                </c:pt>
                <c:pt idx="79">
                  <c:v>39.278004317582152</c:v>
                </c:pt>
                <c:pt idx="80">
                  <c:v>32.543190036159103</c:v>
                </c:pt>
                <c:pt idx="81">
                  <c:v>32.441661923733633</c:v>
                </c:pt>
                <c:pt idx="82">
                  <c:v>32.597054886211517</c:v>
                </c:pt>
                <c:pt idx="83">
                  <c:v>33.264586521189543</c:v>
                </c:pt>
                <c:pt idx="84">
                  <c:v>37.752866898595542</c:v>
                </c:pt>
                <c:pt idx="85">
                  <c:v>36.99934578759904</c:v>
                </c:pt>
                <c:pt idx="86">
                  <c:v>35.221350438119231</c:v>
                </c:pt>
                <c:pt idx="87">
                  <c:v>36.822235596651531</c:v>
                </c:pt>
                <c:pt idx="88">
                  <c:v>33.391477697483175</c:v>
                </c:pt>
                <c:pt idx="89">
                  <c:v>32.07592503604036</c:v>
                </c:pt>
                <c:pt idx="90">
                  <c:v>35.256410256410255</c:v>
                </c:pt>
                <c:pt idx="91">
                  <c:v>40.138190954773869</c:v>
                </c:pt>
                <c:pt idx="92">
                  <c:v>39.66864224137931</c:v>
                </c:pt>
                <c:pt idx="93">
                  <c:v>30.829949093405023</c:v>
                </c:pt>
                <c:pt idx="94">
                  <c:v>31.067545128287534</c:v>
                </c:pt>
                <c:pt idx="95">
                  <c:v>38.884243220642695</c:v>
                </c:pt>
                <c:pt idx="96">
                  <c:v>36.88499479198579</c:v>
                </c:pt>
                <c:pt idx="97">
                  <c:v>39.377618192698982</c:v>
                </c:pt>
                <c:pt idx="98">
                  <c:v>38.491516277954318</c:v>
                </c:pt>
                <c:pt idx="99">
                  <c:v>37.525354969574039</c:v>
                </c:pt>
                <c:pt idx="100">
                  <c:v>32.415345049292753</c:v>
                </c:pt>
                <c:pt idx="101">
                  <c:v>27.879595690325445</c:v>
                </c:pt>
                <c:pt idx="102">
                  <c:v>29.729240788759572</c:v>
                </c:pt>
                <c:pt idx="103">
                  <c:v>31.673319808913032</c:v>
                </c:pt>
                <c:pt idx="104">
                  <c:v>35.316946959896505</c:v>
                </c:pt>
                <c:pt idx="105">
                  <c:v>37.205512933668274</c:v>
                </c:pt>
                <c:pt idx="106">
                  <c:v>36.268633779007224</c:v>
                </c:pt>
                <c:pt idx="107">
                  <c:v>37.551073351060381</c:v>
                </c:pt>
                <c:pt idx="108">
                  <c:v>29.427792915531334</c:v>
                </c:pt>
                <c:pt idx="109">
                  <c:v>31.571263458847866</c:v>
                </c:pt>
                <c:pt idx="110">
                  <c:v>35.814350103544889</c:v>
                </c:pt>
                <c:pt idx="111">
                  <c:v>32.399137665537417</c:v>
                </c:pt>
                <c:pt idx="112">
                  <c:v>43.623346681228007</c:v>
                </c:pt>
                <c:pt idx="113">
                  <c:v>38.07404660362198</c:v>
                </c:pt>
                <c:pt idx="114">
                  <c:v>31.844456121912771</c:v>
                </c:pt>
                <c:pt idx="115">
                  <c:v>34.498083439808894</c:v>
                </c:pt>
                <c:pt idx="116">
                  <c:v>26.280393171236419</c:v>
                </c:pt>
                <c:pt idx="117">
                  <c:v>30.318931840708995</c:v>
                </c:pt>
                <c:pt idx="118">
                  <c:v>30.817461256358687</c:v>
                </c:pt>
                <c:pt idx="119">
                  <c:v>29.639407211855762</c:v>
                </c:pt>
                <c:pt idx="120">
                  <c:v>40.716612377850161</c:v>
                </c:pt>
                <c:pt idx="121">
                  <c:v>36.111994909322306</c:v>
                </c:pt>
                <c:pt idx="122">
                  <c:v>32.239657631954351</c:v>
                </c:pt>
                <c:pt idx="123">
                  <c:v>34.907597535934286</c:v>
                </c:pt>
                <c:pt idx="124">
                  <c:v>32.516061360954502</c:v>
                </c:pt>
                <c:pt idx="125">
                  <c:v>29.855600364251334</c:v>
                </c:pt>
                <c:pt idx="126">
                  <c:v>36.545489517214847</c:v>
                </c:pt>
                <c:pt idx="127">
                  <c:v>40.578358208955223</c:v>
                </c:pt>
                <c:pt idx="128">
                  <c:v>37.691664343462499</c:v>
                </c:pt>
                <c:pt idx="129">
                  <c:v>32.20003597769383</c:v>
                </c:pt>
                <c:pt idx="130">
                  <c:v>36.249543072986476</c:v>
                </c:pt>
                <c:pt idx="131">
                  <c:v>34.055914497916788</c:v>
                </c:pt>
                <c:pt idx="132">
                  <c:v>32.163564235581326</c:v>
                </c:pt>
                <c:pt idx="133">
                  <c:v>31.787488852083065</c:v>
                </c:pt>
                <c:pt idx="134">
                  <c:v>33.609777389786117</c:v>
                </c:pt>
                <c:pt idx="135">
                  <c:v>37.742005655862521</c:v>
                </c:pt>
                <c:pt idx="136">
                  <c:v>31.757233592095979</c:v>
                </c:pt>
                <c:pt idx="137">
                  <c:v>36.499353473609972</c:v>
                </c:pt>
                <c:pt idx="138">
                  <c:v>36.387814313346226</c:v>
                </c:pt>
                <c:pt idx="139">
                  <c:v>33.135242211417257</c:v>
                </c:pt>
                <c:pt idx="140">
                  <c:v>43.232323232323232</c:v>
                </c:pt>
                <c:pt idx="141">
                  <c:v>32.706066253832745</c:v>
                </c:pt>
                <c:pt idx="142">
                  <c:v>31.084515992374499</c:v>
                </c:pt>
                <c:pt idx="143">
                  <c:v>29.786511127470412</c:v>
                </c:pt>
                <c:pt idx="144">
                  <c:v>35.850115343849367</c:v>
                </c:pt>
                <c:pt idx="145">
                  <c:v>37.714781961416783</c:v>
                </c:pt>
                <c:pt idx="146">
                  <c:v>35.344156233151615</c:v>
                </c:pt>
                <c:pt idx="147">
                  <c:v>37.792582984493841</c:v>
                </c:pt>
                <c:pt idx="148">
                  <c:v>41.36300965136892</c:v>
                </c:pt>
                <c:pt idx="149">
                  <c:v>40.533457573816314</c:v>
                </c:pt>
                <c:pt idx="150">
                  <c:v>34.665099882491191</c:v>
                </c:pt>
                <c:pt idx="151">
                  <c:v>34.751951649458576</c:v>
                </c:pt>
                <c:pt idx="152">
                  <c:v>36.475166545742361</c:v>
                </c:pt>
                <c:pt idx="153">
                  <c:v>35.014988200778113</c:v>
                </c:pt>
                <c:pt idx="154">
                  <c:v>38.052202865806528</c:v>
                </c:pt>
                <c:pt idx="155">
                  <c:v>34.235294117647058</c:v>
                </c:pt>
                <c:pt idx="156">
                  <c:v>39.769012856831559</c:v>
                </c:pt>
                <c:pt idx="157">
                  <c:v>32.504780114722756</c:v>
                </c:pt>
                <c:pt idx="158">
                  <c:v>35.652871718445489</c:v>
                </c:pt>
                <c:pt idx="159">
                  <c:v>31.831146605818596</c:v>
                </c:pt>
                <c:pt idx="160">
                  <c:v>32.606790159527847</c:v>
                </c:pt>
                <c:pt idx="161">
                  <c:v>32.246633593196314</c:v>
                </c:pt>
                <c:pt idx="162">
                  <c:v>36.195139010316495</c:v>
                </c:pt>
                <c:pt idx="163">
                  <c:v>30.660005259006045</c:v>
                </c:pt>
                <c:pt idx="164">
                  <c:v>31.170928667563931</c:v>
                </c:pt>
                <c:pt idx="165">
                  <c:v>32.701149425287362</c:v>
                </c:pt>
                <c:pt idx="166">
                  <c:v>31.802336248547487</c:v>
                </c:pt>
                <c:pt idx="167">
                  <c:v>27.809023872015995</c:v>
                </c:pt>
                <c:pt idx="168">
                  <c:v>47.73604773604773</c:v>
                </c:pt>
                <c:pt idx="169">
                  <c:v>39.830024735206443</c:v>
                </c:pt>
                <c:pt idx="170">
                  <c:v>33.474502523641</c:v>
                </c:pt>
                <c:pt idx="171">
                  <c:v>37.119908204245554</c:v>
                </c:pt>
                <c:pt idx="172">
                  <c:v>38.074951740664318</c:v>
                </c:pt>
                <c:pt idx="173">
                  <c:v>33.476060724017124</c:v>
                </c:pt>
                <c:pt idx="174">
                  <c:v>31.09903381642512</c:v>
                </c:pt>
                <c:pt idx="175">
                  <c:v>38.189886867929246</c:v>
                </c:pt>
                <c:pt idx="176">
                  <c:v>33.443770707007559</c:v>
                </c:pt>
                <c:pt idx="177">
                  <c:v>33.429167371328717</c:v>
                </c:pt>
                <c:pt idx="178">
                  <c:v>28.005194511885268</c:v>
                </c:pt>
                <c:pt idx="179">
                  <c:v>32.420483851160505</c:v>
                </c:pt>
                <c:pt idx="180">
                  <c:v>34.215666464605647</c:v>
                </c:pt>
                <c:pt idx="181">
                  <c:v>32.255953938759482</c:v>
                </c:pt>
                <c:pt idx="182">
                  <c:v>33.194182601669809</c:v>
                </c:pt>
                <c:pt idx="183">
                  <c:v>38.558318531675546</c:v>
                </c:pt>
                <c:pt idx="184">
                  <c:v>33.960720130932899</c:v>
                </c:pt>
                <c:pt idx="185">
                  <c:v>31.540987136013776</c:v>
                </c:pt>
                <c:pt idx="186">
                  <c:v>32.965743782261853</c:v>
                </c:pt>
                <c:pt idx="187">
                  <c:v>32.346587259882057</c:v>
                </c:pt>
                <c:pt idx="188">
                  <c:v>31.82880776838698</c:v>
                </c:pt>
                <c:pt idx="189">
                  <c:v>33.477321814254864</c:v>
                </c:pt>
                <c:pt idx="190">
                  <c:v>35.005253553060889</c:v>
                </c:pt>
                <c:pt idx="191">
                  <c:v>32.020911615749064</c:v>
                </c:pt>
                <c:pt idx="192">
                  <c:v>28.505878979065098</c:v>
                </c:pt>
                <c:pt idx="193">
                  <c:v>34.447234563131801</c:v>
                </c:pt>
                <c:pt idx="194">
                  <c:v>33.726385190820338</c:v>
                </c:pt>
                <c:pt idx="195">
                  <c:v>33.677648065521666</c:v>
                </c:pt>
                <c:pt idx="196">
                  <c:v>36.105450840550176</c:v>
                </c:pt>
                <c:pt idx="197">
                  <c:v>38.153589083060645</c:v>
                </c:pt>
                <c:pt idx="198">
                  <c:v>32.070317139802832</c:v>
                </c:pt>
                <c:pt idx="199">
                  <c:v>30.413553738455203</c:v>
                </c:pt>
                <c:pt idx="200">
                  <c:v>35.5660201995167</c:v>
                </c:pt>
                <c:pt idx="201">
                  <c:v>35.167916133357714</c:v>
                </c:pt>
                <c:pt idx="202">
                  <c:v>32.160865822162101</c:v>
                </c:pt>
                <c:pt idx="203">
                  <c:v>33.060072570891009</c:v>
                </c:pt>
                <c:pt idx="204">
                  <c:v>40.404040404040408</c:v>
                </c:pt>
                <c:pt idx="205">
                  <c:v>35.70737995488237</c:v>
                </c:pt>
                <c:pt idx="206">
                  <c:v>33.736312424837017</c:v>
                </c:pt>
                <c:pt idx="207">
                  <c:v>31.818181818181817</c:v>
                </c:pt>
                <c:pt idx="208">
                  <c:v>35.809104448617497</c:v>
                </c:pt>
                <c:pt idx="209">
                  <c:v>33.891651400157031</c:v>
                </c:pt>
                <c:pt idx="210">
                  <c:v>39.813824768853387</c:v>
                </c:pt>
                <c:pt idx="211">
                  <c:v>39.297409943435547</c:v>
                </c:pt>
                <c:pt idx="212">
                  <c:v>33.408408408408413</c:v>
                </c:pt>
                <c:pt idx="213">
                  <c:v>34.104603518920221</c:v>
                </c:pt>
                <c:pt idx="214">
                  <c:v>31.707793476137766</c:v>
                </c:pt>
                <c:pt idx="215">
                  <c:v>33.277647844971597</c:v>
                </c:pt>
                <c:pt idx="216">
                  <c:v>33.436908943528778</c:v>
                </c:pt>
                <c:pt idx="217">
                  <c:v>42.536007538026652</c:v>
                </c:pt>
                <c:pt idx="218">
                  <c:v>41.239515377446409</c:v>
                </c:pt>
                <c:pt idx="219">
                  <c:v>39.589156861470457</c:v>
                </c:pt>
                <c:pt idx="220">
                  <c:v>39.375928677563152</c:v>
                </c:pt>
                <c:pt idx="221">
                  <c:v>34.44158129595877</c:v>
                </c:pt>
                <c:pt idx="222">
                  <c:v>29.54924874791319</c:v>
                </c:pt>
                <c:pt idx="223">
                  <c:v>33.765889830508478</c:v>
                </c:pt>
                <c:pt idx="224">
                  <c:v>36.16054524801212</c:v>
                </c:pt>
                <c:pt idx="225">
                  <c:v>37.437784029430865</c:v>
                </c:pt>
                <c:pt idx="226">
                  <c:v>32.676477924669499</c:v>
                </c:pt>
                <c:pt idx="227">
                  <c:v>31.030550387131626</c:v>
                </c:pt>
                <c:pt idx="228">
                  <c:v>34.655609876848814</c:v>
                </c:pt>
                <c:pt idx="229">
                  <c:v>36.10569897710667</c:v>
                </c:pt>
                <c:pt idx="230">
                  <c:v>46.020192533458555</c:v>
                </c:pt>
                <c:pt idx="231">
                  <c:v>37.179487179487182</c:v>
                </c:pt>
                <c:pt idx="232">
                  <c:v>33.249301628398179</c:v>
                </c:pt>
                <c:pt idx="233">
                  <c:v>36.567078094359211</c:v>
                </c:pt>
                <c:pt idx="234">
                  <c:v>32.408325074331024</c:v>
                </c:pt>
                <c:pt idx="235">
                  <c:v>34.186241610738257</c:v>
                </c:pt>
                <c:pt idx="236">
                  <c:v>31.945895419805353</c:v>
                </c:pt>
                <c:pt idx="237">
                  <c:v>36.078717201166185</c:v>
                </c:pt>
                <c:pt idx="238">
                  <c:v>38.59146865158889</c:v>
                </c:pt>
                <c:pt idx="239">
                  <c:v>38.939157566302654</c:v>
                </c:pt>
                <c:pt idx="240">
                  <c:v>35.615010423905488</c:v>
                </c:pt>
                <c:pt idx="241">
                  <c:v>36.984961486734313</c:v>
                </c:pt>
                <c:pt idx="242">
                  <c:v>37.221970040853385</c:v>
                </c:pt>
                <c:pt idx="243">
                  <c:v>33.696605286233243</c:v>
                </c:pt>
                <c:pt idx="244">
                  <c:v>35.92336349121873</c:v>
                </c:pt>
                <c:pt idx="245">
                  <c:v>38.95576897064791</c:v>
                </c:pt>
                <c:pt idx="246">
                  <c:v>41.310909874946091</c:v>
                </c:pt>
                <c:pt idx="247">
                  <c:v>37.781954887218049</c:v>
                </c:pt>
                <c:pt idx="248">
                  <c:v>34.707395850440683</c:v>
                </c:pt>
                <c:pt idx="249">
                  <c:v>35.662824207492797</c:v>
                </c:pt>
                <c:pt idx="250">
                  <c:v>36.554674720020138</c:v>
                </c:pt>
                <c:pt idx="251">
                  <c:v>36.258299700559824</c:v>
                </c:pt>
                <c:pt idx="252">
                  <c:v>37.965425531914889</c:v>
                </c:pt>
                <c:pt idx="253">
                  <c:v>36.234128213069063</c:v>
                </c:pt>
                <c:pt idx="254">
                  <c:v>35.236866791744845</c:v>
                </c:pt>
                <c:pt idx="255">
                  <c:v>31.570549350353318</c:v>
                </c:pt>
                <c:pt idx="256">
                  <c:v>39.199332777314432</c:v>
                </c:pt>
                <c:pt idx="257">
                  <c:v>37.982805081483384</c:v>
                </c:pt>
                <c:pt idx="258">
                  <c:v>33.712925432670652</c:v>
                </c:pt>
                <c:pt idx="259">
                  <c:v>34.711181770005297</c:v>
                </c:pt>
                <c:pt idx="260">
                  <c:v>43.731100255873457</c:v>
                </c:pt>
                <c:pt idx="261">
                  <c:v>34.926140781053768</c:v>
                </c:pt>
                <c:pt idx="262">
                  <c:v>36.450167973124302</c:v>
                </c:pt>
                <c:pt idx="263">
                  <c:v>38.714073339940533</c:v>
                </c:pt>
                <c:pt idx="264">
                  <c:v>38.459001253380826</c:v>
                </c:pt>
                <c:pt idx="265">
                  <c:v>37.780247074972216</c:v>
                </c:pt>
                <c:pt idx="266">
                  <c:v>31.569555967332374</c:v>
                </c:pt>
                <c:pt idx="267">
                  <c:v>42.525174283501158</c:v>
                </c:pt>
                <c:pt idx="268">
                  <c:v>36.113276175630034</c:v>
                </c:pt>
                <c:pt idx="269">
                  <c:v>35.026822341432634</c:v>
                </c:pt>
                <c:pt idx="270">
                  <c:v>41.817450743868115</c:v>
                </c:pt>
                <c:pt idx="271">
                  <c:v>38.356164383561648</c:v>
                </c:pt>
                <c:pt idx="272">
                  <c:v>38.356164383561648</c:v>
                </c:pt>
                <c:pt idx="273">
                  <c:v>42.919243249862248</c:v>
                </c:pt>
                <c:pt idx="274">
                  <c:v>36.922861346598474</c:v>
                </c:pt>
                <c:pt idx="275">
                  <c:v>34.352649659289298</c:v>
                </c:pt>
                <c:pt idx="276">
                  <c:v>30.907735535294453</c:v>
                </c:pt>
                <c:pt idx="277">
                  <c:v>33.542319749216304</c:v>
                </c:pt>
                <c:pt idx="278">
                  <c:v>39.219512195121951</c:v>
                </c:pt>
                <c:pt idx="279">
                  <c:v>36.753040719196193</c:v>
                </c:pt>
                <c:pt idx="280">
                  <c:v>47.307430129516021</c:v>
                </c:pt>
                <c:pt idx="281">
                  <c:v>45.868493608488599</c:v>
                </c:pt>
                <c:pt idx="282">
                  <c:v>35.835023664638271</c:v>
                </c:pt>
                <c:pt idx="283">
                  <c:v>36.418535863938871</c:v>
                </c:pt>
                <c:pt idx="284">
                  <c:v>39.125508231687</c:v>
                </c:pt>
                <c:pt idx="285">
                  <c:v>36.837913181999198</c:v>
                </c:pt>
                <c:pt idx="286">
                  <c:v>34.575722855024601</c:v>
                </c:pt>
                <c:pt idx="287">
                  <c:v>38.820605816374503</c:v>
                </c:pt>
                <c:pt idx="288">
                  <c:v>39.330279576686145</c:v>
                </c:pt>
                <c:pt idx="289">
                  <c:v>30.512904279647174</c:v>
                </c:pt>
                <c:pt idx="290">
                  <c:v>37.350789372352715</c:v>
                </c:pt>
                <c:pt idx="291">
                  <c:v>33.172746042670333</c:v>
                </c:pt>
                <c:pt idx="292">
                  <c:v>38.388367984780544</c:v>
                </c:pt>
                <c:pt idx="293">
                  <c:v>33.155080213903744</c:v>
                </c:pt>
                <c:pt idx="294">
                  <c:v>36.167647684561373</c:v>
                </c:pt>
                <c:pt idx="295">
                  <c:v>40.013592727890583</c:v>
                </c:pt>
                <c:pt idx="296">
                  <c:v>37.230388789668908</c:v>
                </c:pt>
                <c:pt idx="297">
                  <c:v>30.445111277819457</c:v>
                </c:pt>
                <c:pt idx="298">
                  <c:v>33.236228813559322</c:v>
                </c:pt>
                <c:pt idx="299">
                  <c:v>36.927728188885695</c:v>
                </c:pt>
                <c:pt idx="300">
                  <c:v>39.341458199700661</c:v>
                </c:pt>
                <c:pt idx="301">
                  <c:v>40.417672964909784</c:v>
                </c:pt>
                <c:pt idx="302">
                  <c:v>46.134020618556704</c:v>
                </c:pt>
                <c:pt idx="303">
                  <c:v>35.2949254961203</c:v>
                </c:pt>
                <c:pt idx="304">
                  <c:v>36.618567928124151</c:v>
                </c:pt>
                <c:pt idx="305">
                  <c:v>39.886660854402791</c:v>
                </c:pt>
                <c:pt idx="306">
                  <c:v>35.965707116470341</c:v>
                </c:pt>
                <c:pt idx="307">
                  <c:v>40.886699507389167</c:v>
                </c:pt>
                <c:pt idx="308">
                  <c:v>42.31414605675932</c:v>
                </c:pt>
                <c:pt idx="309">
                  <c:v>40.165488708843306</c:v>
                </c:pt>
                <c:pt idx="310">
                  <c:v>33.287482806052267</c:v>
                </c:pt>
                <c:pt idx="311">
                  <c:v>33.309617747881774</c:v>
                </c:pt>
                <c:pt idx="312">
                  <c:v>37.552062340454121</c:v>
                </c:pt>
                <c:pt idx="313">
                  <c:v>37.596626844694306</c:v>
                </c:pt>
                <c:pt idx="314">
                  <c:v>36.273701566364387</c:v>
                </c:pt>
                <c:pt idx="315">
                  <c:v>37.414491134999302</c:v>
                </c:pt>
                <c:pt idx="316">
                  <c:v>46.247948679695661</c:v>
                </c:pt>
                <c:pt idx="317">
                  <c:v>40.283070223189988</c:v>
                </c:pt>
                <c:pt idx="318">
                  <c:v>34.962812281482421</c:v>
                </c:pt>
                <c:pt idx="319">
                  <c:v>36.933847692527507</c:v>
                </c:pt>
                <c:pt idx="320">
                  <c:v>36.649582250930287</c:v>
                </c:pt>
                <c:pt idx="321">
                  <c:v>35.269867928849528</c:v>
                </c:pt>
                <c:pt idx="322">
                  <c:v>34.427597718736955</c:v>
                </c:pt>
                <c:pt idx="323">
                  <c:v>40.274715957266409</c:v>
                </c:pt>
                <c:pt idx="324">
                  <c:v>37.207726194510336</c:v>
                </c:pt>
                <c:pt idx="325">
                  <c:v>30.432836775142253</c:v>
                </c:pt>
                <c:pt idx="326">
                  <c:v>38.67289462838302</c:v>
                </c:pt>
                <c:pt idx="327">
                  <c:v>36.306235201262822</c:v>
                </c:pt>
                <c:pt idx="328">
                  <c:v>37.196845707484009</c:v>
                </c:pt>
                <c:pt idx="329">
                  <c:v>37.073024889752595</c:v>
                </c:pt>
                <c:pt idx="330">
                  <c:v>36.235086168802475</c:v>
                </c:pt>
                <c:pt idx="331">
                  <c:v>34.662166912746962</c:v>
                </c:pt>
                <c:pt idx="332">
                  <c:v>34.798298749838899</c:v>
                </c:pt>
                <c:pt idx="333">
                  <c:v>34.698935704913254</c:v>
                </c:pt>
                <c:pt idx="334">
                  <c:v>33.032821524158329</c:v>
                </c:pt>
                <c:pt idx="335">
                  <c:v>46.531791907514446</c:v>
                </c:pt>
                <c:pt idx="336">
                  <c:v>38.866728035184614</c:v>
                </c:pt>
                <c:pt idx="337">
                  <c:v>33.32407664537628</c:v>
                </c:pt>
                <c:pt idx="338">
                  <c:v>32.731722239216886</c:v>
                </c:pt>
                <c:pt idx="339">
                  <c:v>30.205179952909518</c:v>
                </c:pt>
                <c:pt idx="340">
                  <c:v>39.186581564494581</c:v>
                </c:pt>
                <c:pt idx="341">
                  <c:v>33.536936729284314</c:v>
                </c:pt>
                <c:pt idx="342">
                  <c:v>25.433992733144933</c:v>
                </c:pt>
                <c:pt idx="343">
                  <c:v>27.742239579826276</c:v>
                </c:pt>
                <c:pt idx="344">
                  <c:v>31.196287383980749</c:v>
                </c:pt>
                <c:pt idx="345">
                  <c:v>30.313588850174213</c:v>
                </c:pt>
                <c:pt idx="346">
                  <c:v>30.616958099637085</c:v>
                </c:pt>
                <c:pt idx="347">
                  <c:v>32.12627669452182</c:v>
                </c:pt>
                <c:pt idx="348">
                  <c:v>31.076301162203134</c:v>
                </c:pt>
                <c:pt idx="349">
                  <c:v>28.402771836769613</c:v>
                </c:pt>
                <c:pt idx="350">
                  <c:v>31.969074062710927</c:v>
                </c:pt>
                <c:pt idx="351">
                  <c:v>36.634149764895781</c:v>
                </c:pt>
                <c:pt idx="352">
                  <c:v>31.914893617021274</c:v>
                </c:pt>
                <c:pt idx="353">
                  <c:v>32.036209734305196</c:v>
                </c:pt>
                <c:pt idx="354">
                  <c:v>31.826657236546005</c:v>
                </c:pt>
                <c:pt idx="355">
                  <c:v>34.616906237636819</c:v>
                </c:pt>
                <c:pt idx="356">
                  <c:v>36.00643690492155</c:v>
                </c:pt>
                <c:pt idx="357">
                  <c:v>29.319371727748692</c:v>
                </c:pt>
                <c:pt idx="358">
                  <c:v>36.989998412446418</c:v>
                </c:pt>
                <c:pt idx="359">
                  <c:v>32.238766285562356</c:v>
                </c:pt>
                <c:pt idx="360">
                  <c:v>26.729275781108903</c:v>
                </c:pt>
                <c:pt idx="361">
                  <c:v>33.062880324543613</c:v>
                </c:pt>
                <c:pt idx="362">
                  <c:v>34.213767620090323</c:v>
                </c:pt>
                <c:pt idx="363">
                  <c:v>32.699892434564354</c:v>
                </c:pt>
                <c:pt idx="364">
                  <c:v>41.607798813224072</c:v>
                </c:pt>
                <c:pt idx="365">
                  <c:v>34.305894223492814</c:v>
                </c:pt>
                <c:pt idx="366">
                  <c:v>33.297957017776596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C-4A7D-BC28-654AAFE6E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453408"/>
        <c:axId val="7364537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DanePolicja!$G$2:$G$368</c15:sqref>
                        </c15:formulaRef>
                      </c:ext>
                    </c:extLst>
                    <c:numCache>
                      <c:formatCode>0</c:formatCode>
                      <c:ptCount val="367"/>
                      <c:pt idx="0">
                        <c:v>31.659993840468122</c:v>
                      </c:pt>
                      <c:pt idx="1">
                        <c:v>35.918538150369649</c:v>
                      </c:pt>
                      <c:pt idx="2">
                        <c:v>30.783973168832723</c:v>
                      </c:pt>
                      <c:pt idx="3">
                        <c:v>26.219581857648805</c:v>
                      </c:pt>
                      <c:pt idx="4">
                        <c:v>30.448515476942514</c:v>
                      </c:pt>
                      <c:pt idx="5">
                        <c:v>27.169763298549253</c:v>
                      </c:pt>
                      <c:pt idx="6">
                        <c:v>28.905488795063331</c:v>
                      </c:pt>
                      <c:pt idx="7">
                        <c:v>44.41994682575708</c:v>
                      </c:pt>
                      <c:pt idx="8">
                        <c:v>38.693723179867625</c:v>
                      </c:pt>
                      <c:pt idx="9">
                        <c:v>34.246575342465754</c:v>
                      </c:pt>
                      <c:pt idx="10">
                        <c:v>24.474049068659955</c:v>
                      </c:pt>
                      <c:pt idx="11">
                        <c:v>25.664754148929607</c:v>
                      </c:pt>
                      <c:pt idx="12">
                        <c:v>26.532715095311694</c:v>
                      </c:pt>
                      <c:pt idx="13">
                        <c:v>26.867030965391621</c:v>
                      </c:pt>
                      <c:pt idx="14">
                        <c:v>29.710192983619603</c:v>
                      </c:pt>
                      <c:pt idx="15">
                        <c:v>29.672747923617518</c:v>
                      </c:pt>
                      <c:pt idx="16">
                        <c:v>28.295544826743264</c:v>
                      </c:pt>
                      <c:pt idx="17">
                        <c:v>24.5930644019816</c:v>
                      </c:pt>
                      <c:pt idx="18">
                        <c:v>30.40230638186345</c:v>
                      </c:pt>
                      <c:pt idx="19">
                        <c:v>29.947916666666668</c:v>
                      </c:pt>
                      <c:pt idx="20">
                        <c:v>31.579620277440387</c:v>
                      </c:pt>
                      <c:pt idx="21">
                        <c:v>31.287302883709241</c:v>
                      </c:pt>
                      <c:pt idx="22">
                        <c:v>37.866666666666667</c:v>
                      </c:pt>
                      <c:pt idx="23">
                        <c:v>32.899628252788105</c:v>
                      </c:pt>
                      <c:pt idx="24">
                        <c:v>29.508786661068797</c:v>
                      </c:pt>
                      <c:pt idx="25">
                        <c:v>33.363507047717576</c:v>
                      </c:pt>
                      <c:pt idx="26">
                        <c:v>40.193642907191538</c:v>
                      </c:pt>
                      <c:pt idx="27">
                        <c:v>44.688418122777179</c:v>
                      </c:pt>
                      <c:pt idx="28">
                        <c:v>32.833425908782324</c:v>
                      </c:pt>
                      <c:pt idx="29">
                        <c:v>42.526440352044965</c:v>
                      </c:pt>
                      <c:pt idx="30">
                        <c:v>35.099141757916541</c:v>
                      </c:pt>
                      <c:pt idx="31">
                        <c:v>30.346901275126676</c:v>
                      </c:pt>
                      <c:pt idx="32">
                        <c:v>34.655010927255695</c:v>
                      </c:pt>
                      <c:pt idx="33">
                        <c:v>33.649644150330879</c:v>
                      </c:pt>
                      <c:pt idx="34">
                        <c:v>30.979162825004611</c:v>
                      </c:pt>
                      <c:pt idx="35">
                        <c:v>41.56367893846754</c:v>
                      </c:pt>
                      <c:pt idx="36">
                        <c:v>40.364679067715613</c:v>
                      </c:pt>
                      <c:pt idx="37">
                        <c:v>34.59493274945261</c:v>
                      </c:pt>
                      <c:pt idx="38">
                        <c:v>27.401798390913392</c:v>
                      </c:pt>
                      <c:pt idx="39">
                        <c:v>30.872876391329818</c:v>
                      </c:pt>
                      <c:pt idx="40">
                        <c:v>33.947623666343361</c:v>
                      </c:pt>
                      <c:pt idx="41">
                        <c:v>29.080496341075406</c:v>
                      </c:pt>
                      <c:pt idx="42">
                        <c:v>36.511539916761251</c:v>
                      </c:pt>
                      <c:pt idx="43">
                        <c:v>35.198490456491761</c:v>
                      </c:pt>
                      <c:pt idx="44">
                        <c:v>34.349532146091157</c:v>
                      </c:pt>
                      <c:pt idx="45">
                        <c:v>33.180103724658181</c:v>
                      </c:pt>
                      <c:pt idx="46">
                        <c:v>37.384854647685131</c:v>
                      </c:pt>
                      <c:pt idx="47">
                        <c:v>33.143705169428642</c:v>
                      </c:pt>
                      <c:pt idx="48">
                        <c:v>34.575835475578408</c:v>
                      </c:pt>
                      <c:pt idx="49">
                        <c:v>38.425492033739452</c:v>
                      </c:pt>
                      <c:pt idx="50">
                        <c:v>40.386303775241437</c:v>
                      </c:pt>
                      <c:pt idx="51">
                        <c:v>34.540211470682472</c:v>
                      </c:pt>
                      <c:pt idx="52">
                        <c:v>35.927104425802717</c:v>
                      </c:pt>
                      <c:pt idx="53">
                        <c:v>38.261750918535412</c:v>
                      </c:pt>
                      <c:pt idx="54">
                        <c:v>35.353844271820911</c:v>
                      </c:pt>
                      <c:pt idx="55">
                        <c:v>35.252723458962045</c:v>
                      </c:pt>
                      <c:pt idx="56">
                        <c:v>48.836032388663973</c:v>
                      </c:pt>
                      <c:pt idx="57">
                        <c:v>39.649173673528566</c:v>
                      </c:pt>
                      <c:pt idx="58">
                        <c:v>37.619450828595625</c:v>
                      </c:pt>
                      <c:pt idx="59">
                        <c:v>34.125220759984046</c:v>
                      </c:pt>
                      <c:pt idx="60">
                        <c:v>38.023284617290066</c:v>
                      </c:pt>
                      <c:pt idx="61">
                        <c:v>38.777459407831898</c:v>
                      </c:pt>
                      <c:pt idx="62">
                        <c:v>35.420910823421174</c:v>
                      </c:pt>
                      <c:pt idx="63">
                        <c:v>32.655781406197931</c:v>
                      </c:pt>
                      <c:pt idx="64">
                        <c:v>39.05639743790033</c:v>
                      </c:pt>
                      <c:pt idx="65">
                        <c:v>35.536280665415241</c:v>
                      </c:pt>
                      <c:pt idx="66">
                        <c:v>32.965064198268138</c:v>
                      </c:pt>
                      <c:pt idx="67">
                        <c:v>37.949314714248771</c:v>
                      </c:pt>
                      <c:pt idx="68">
                        <c:v>37.540624792730647</c:v>
                      </c:pt>
                      <c:pt idx="69">
                        <c:v>35.390465048259728</c:v>
                      </c:pt>
                      <c:pt idx="70">
                        <c:v>36.049517072507143</c:v>
                      </c:pt>
                      <c:pt idx="71">
                        <c:v>38.673188627331093</c:v>
                      </c:pt>
                      <c:pt idx="72">
                        <c:v>36.034935564649118</c:v>
                      </c:pt>
                      <c:pt idx="73">
                        <c:v>30.987135081642752</c:v>
                      </c:pt>
                      <c:pt idx="74">
                        <c:v>33.37354242058705</c:v>
                      </c:pt>
                      <c:pt idx="75">
                        <c:v>31.853088480801336</c:v>
                      </c:pt>
                      <c:pt idx="76">
                        <c:v>33.944648216072025</c:v>
                      </c:pt>
                      <c:pt idx="77">
                        <c:v>41.197336486402392</c:v>
                      </c:pt>
                      <c:pt idx="78">
                        <c:v>37.371688487307146</c:v>
                      </c:pt>
                      <c:pt idx="79">
                        <c:v>39.278004317582152</c:v>
                      </c:pt>
                      <c:pt idx="80">
                        <c:v>32.543190036159103</c:v>
                      </c:pt>
                      <c:pt idx="81">
                        <c:v>32.441661923733633</c:v>
                      </c:pt>
                      <c:pt idx="82">
                        <c:v>32.597054886211517</c:v>
                      </c:pt>
                      <c:pt idx="83">
                        <c:v>33.264586521189543</c:v>
                      </c:pt>
                      <c:pt idx="84">
                        <c:v>37.752866898595542</c:v>
                      </c:pt>
                      <c:pt idx="85">
                        <c:v>36.99934578759904</c:v>
                      </c:pt>
                      <c:pt idx="86">
                        <c:v>35.221350438119231</c:v>
                      </c:pt>
                      <c:pt idx="87">
                        <c:v>36.822235596651531</c:v>
                      </c:pt>
                      <c:pt idx="88">
                        <c:v>33.391477697483175</c:v>
                      </c:pt>
                      <c:pt idx="89">
                        <c:v>32.07592503604036</c:v>
                      </c:pt>
                      <c:pt idx="90">
                        <c:v>35.256410256410255</c:v>
                      </c:pt>
                      <c:pt idx="91">
                        <c:v>40.138190954773869</c:v>
                      </c:pt>
                      <c:pt idx="92">
                        <c:v>39.66864224137931</c:v>
                      </c:pt>
                      <c:pt idx="93">
                        <c:v>30.829949093405023</c:v>
                      </c:pt>
                      <c:pt idx="94">
                        <c:v>31.067545128287534</c:v>
                      </c:pt>
                      <c:pt idx="95">
                        <c:v>38.884243220642695</c:v>
                      </c:pt>
                      <c:pt idx="96">
                        <c:v>36.88499479198579</c:v>
                      </c:pt>
                      <c:pt idx="97">
                        <c:v>39.377618192698982</c:v>
                      </c:pt>
                      <c:pt idx="98">
                        <c:v>38.491516277954318</c:v>
                      </c:pt>
                      <c:pt idx="99">
                        <c:v>37.525354969574039</c:v>
                      </c:pt>
                      <c:pt idx="100">
                        <c:v>32.415345049292753</c:v>
                      </c:pt>
                      <c:pt idx="101">
                        <c:v>27.879595690325445</c:v>
                      </c:pt>
                      <c:pt idx="102">
                        <c:v>29.729240788759572</c:v>
                      </c:pt>
                      <c:pt idx="103">
                        <c:v>31.673319808913032</c:v>
                      </c:pt>
                      <c:pt idx="104">
                        <c:v>35.316946959896505</c:v>
                      </c:pt>
                      <c:pt idx="105">
                        <c:v>37.205512933668274</c:v>
                      </c:pt>
                      <c:pt idx="106">
                        <c:v>36.268633779007224</c:v>
                      </c:pt>
                      <c:pt idx="107">
                        <c:v>37.551073351060381</c:v>
                      </c:pt>
                      <c:pt idx="108">
                        <c:v>29.427792915531334</c:v>
                      </c:pt>
                      <c:pt idx="109">
                        <c:v>31.571263458847866</c:v>
                      </c:pt>
                      <c:pt idx="110">
                        <c:v>35.814350103544889</c:v>
                      </c:pt>
                      <c:pt idx="111">
                        <c:v>32.399137665537417</c:v>
                      </c:pt>
                      <c:pt idx="112">
                        <c:v>43.623346681228007</c:v>
                      </c:pt>
                      <c:pt idx="113">
                        <c:v>38.07404660362198</c:v>
                      </c:pt>
                      <c:pt idx="114">
                        <c:v>31.844456121912771</c:v>
                      </c:pt>
                      <c:pt idx="115">
                        <c:v>34.498083439808894</c:v>
                      </c:pt>
                      <c:pt idx="116">
                        <c:v>26.280393171236419</c:v>
                      </c:pt>
                      <c:pt idx="117">
                        <c:v>30.318931840708995</c:v>
                      </c:pt>
                      <c:pt idx="118">
                        <c:v>30.817461256358687</c:v>
                      </c:pt>
                      <c:pt idx="119">
                        <c:v>29.639407211855762</c:v>
                      </c:pt>
                      <c:pt idx="120">
                        <c:v>40.716612377850161</c:v>
                      </c:pt>
                      <c:pt idx="121">
                        <c:v>36.111994909322306</c:v>
                      </c:pt>
                      <c:pt idx="122">
                        <c:v>32.239657631954351</c:v>
                      </c:pt>
                      <c:pt idx="123">
                        <c:v>34.907597535934286</c:v>
                      </c:pt>
                      <c:pt idx="124">
                        <c:v>32.516061360954502</c:v>
                      </c:pt>
                      <c:pt idx="125">
                        <c:v>29.855600364251334</c:v>
                      </c:pt>
                      <c:pt idx="126">
                        <c:v>36.545489517214847</c:v>
                      </c:pt>
                      <c:pt idx="127">
                        <c:v>40.578358208955223</c:v>
                      </c:pt>
                      <c:pt idx="128">
                        <c:v>37.691664343462499</c:v>
                      </c:pt>
                      <c:pt idx="129">
                        <c:v>32.20003597769383</c:v>
                      </c:pt>
                      <c:pt idx="130">
                        <c:v>36.249543072986476</c:v>
                      </c:pt>
                      <c:pt idx="131">
                        <c:v>34.055914497916788</c:v>
                      </c:pt>
                      <c:pt idx="132">
                        <c:v>32.163564235581326</c:v>
                      </c:pt>
                      <c:pt idx="133">
                        <c:v>31.787488852083065</c:v>
                      </c:pt>
                      <c:pt idx="134">
                        <c:v>33.609777389786117</c:v>
                      </c:pt>
                      <c:pt idx="135">
                        <c:v>37.742005655862521</c:v>
                      </c:pt>
                      <c:pt idx="136">
                        <c:v>31.757233592095979</c:v>
                      </c:pt>
                      <c:pt idx="137">
                        <c:v>36.499353473609972</c:v>
                      </c:pt>
                      <c:pt idx="138">
                        <c:v>36.387814313346226</c:v>
                      </c:pt>
                      <c:pt idx="139">
                        <c:v>33.135242211417257</c:v>
                      </c:pt>
                      <c:pt idx="140">
                        <c:v>43.232323232323232</c:v>
                      </c:pt>
                      <c:pt idx="141">
                        <c:v>32.706066253832745</c:v>
                      </c:pt>
                      <c:pt idx="142">
                        <c:v>31.084515992374499</c:v>
                      </c:pt>
                      <c:pt idx="143">
                        <c:v>29.786511127470412</c:v>
                      </c:pt>
                      <c:pt idx="144">
                        <c:v>35.850115343849367</c:v>
                      </c:pt>
                      <c:pt idx="145">
                        <c:v>37.714781961416783</c:v>
                      </c:pt>
                      <c:pt idx="146">
                        <c:v>35.344156233151615</c:v>
                      </c:pt>
                      <c:pt idx="147">
                        <c:v>37.792582984493841</c:v>
                      </c:pt>
                      <c:pt idx="148">
                        <c:v>41.36300965136892</c:v>
                      </c:pt>
                      <c:pt idx="149">
                        <c:v>40.533457573816314</c:v>
                      </c:pt>
                      <c:pt idx="150">
                        <c:v>34.665099882491191</c:v>
                      </c:pt>
                      <c:pt idx="151">
                        <c:v>34.751951649458576</c:v>
                      </c:pt>
                      <c:pt idx="152">
                        <c:v>36.475166545742361</c:v>
                      </c:pt>
                      <c:pt idx="153">
                        <c:v>35.014988200778113</c:v>
                      </c:pt>
                      <c:pt idx="154">
                        <c:v>38.052202865806528</c:v>
                      </c:pt>
                      <c:pt idx="155">
                        <c:v>34.235294117647058</c:v>
                      </c:pt>
                      <c:pt idx="156">
                        <c:v>39.769012856831559</c:v>
                      </c:pt>
                      <c:pt idx="157">
                        <c:v>32.504780114722756</c:v>
                      </c:pt>
                      <c:pt idx="158">
                        <c:v>35.652871718445489</c:v>
                      </c:pt>
                      <c:pt idx="159">
                        <c:v>31.831146605818596</c:v>
                      </c:pt>
                      <c:pt idx="160">
                        <c:v>32.606790159527847</c:v>
                      </c:pt>
                      <c:pt idx="161">
                        <c:v>32.246633593196314</c:v>
                      </c:pt>
                      <c:pt idx="162">
                        <c:v>36.195139010316495</c:v>
                      </c:pt>
                      <c:pt idx="163">
                        <c:v>30.660005259006045</c:v>
                      </c:pt>
                      <c:pt idx="164">
                        <c:v>31.170928667563931</c:v>
                      </c:pt>
                      <c:pt idx="165">
                        <c:v>32.701149425287362</c:v>
                      </c:pt>
                      <c:pt idx="166">
                        <c:v>31.802336248547487</c:v>
                      </c:pt>
                      <c:pt idx="167">
                        <c:v>27.809023872015995</c:v>
                      </c:pt>
                      <c:pt idx="168">
                        <c:v>47.73604773604773</c:v>
                      </c:pt>
                      <c:pt idx="169">
                        <c:v>39.830024735206443</c:v>
                      </c:pt>
                      <c:pt idx="170">
                        <c:v>33.474502523641</c:v>
                      </c:pt>
                      <c:pt idx="171">
                        <c:v>37.119908204245554</c:v>
                      </c:pt>
                      <c:pt idx="172">
                        <c:v>38.074951740664318</c:v>
                      </c:pt>
                      <c:pt idx="173">
                        <c:v>33.476060724017124</c:v>
                      </c:pt>
                      <c:pt idx="174">
                        <c:v>31.09903381642512</c:v>
                      </c:pt>
                      <c:pt idx="175">
                        <c:v>38.189886867929246</c:v>
                      </c:pt>
                      <c:pt idx="176">
                        <c:v>33.443770707007559</c:v>
                      </c:pt>
                      <c:pt idx="177">
                        <c:v>33.429167371328717</c:v>
                      </c:pt>
                      <c:pt idx="178">
                        <c:v>28.005194511885268</c:v>
                      </c:pt>
                      <c:pt idx="179">
                        <c:v>32.420483851160505</c:v>
                      </c:pt>
                      <c:pt idx="180">
                        <c:v>34.215666464605647</c:v>
                      </c:pt>
                      <c:pt idx="181">
                        <c:v>32.255953938759482</c:v>
                      </c:pt>
                      <c:pt idx="182">
                        <c:v>33.194182601669809</c:v>
                      </c:pt>
                      <c:pt idx="183">
                        <c:v>38.558318531675546</c:v>
                      </c:pt>
                      <c:pt idx="184">
                        <c:v>33.960720130932899</c:v>
                      </c:pt>
                      <c:pt idx="185">
                        <c:v>31.540987136013776</c:v>
                      </c:pt>
                      <c:pt idx="186">
                        <c:v>32.965743782261853</c:v>
                      </c:pt>
                      <c:pt idx="187">
                        <c:v>32.346587259882057</c:v>
                      </c:pt>
                      <c:pt idx="188">
                        <c:v>31.82880776838698</c:v>
                      </c:pt>
                      <c:pt idx="189">
                        <c:v>33.477321814254864</c:v>
                      </c:pt>
                      <c:pt idx="190">
                        <c:v>35.005253553060889</c:v>
                      </c:pt>
                      <c:pt idx="191">
                        <c:v>32.020911615749064</c:v>
                      </c:pt>
                      <c:pt idx="192">
                        <c:v>28.505878979065098</c:v>
                      </c:pt>
                      <c:pt idx="193">
                        <c:v>34.447234563131801</c:v>
                      </c:pt>
                      <c:pt idx="194">
                        <c:v>33.726385190820338</c:v>
                      </c:pt>
                      <c:pt idx="195">
                        <c:v>33.677648065521666</c:v>
                      </c:pt>
                      <c:pt idx="196">
                        <c:v>36.105450840550176</c:v>
                      </c:pt>
                      <c:pt idx="197">
                        <c:v>38.153589083060645</c:v>
                      </c:pt>
                      <c:pt idx="198">
                        <c:v>32.070317139802832</c:v>
                      </c:pt>
                      <c:pt idx="199">
                        <c:v>30.413553738455203</c:v>
                      </c:pt>
                      <c:pt idx="200">
                        <c:v>35.5660201995167</c:v>
                      </c:pt>
                      <c:pt idx="201">
                        <c:v>35.167916133357714</c:v>
                      </c:pt>
                      <c:pt idx="202">
                        <c:v>32.160865822162101</c:v>
                      </c:pt>
                      <c:pt idx="203">
                        <c:v>33.060072570891009</c:v>
                      </c:pt>
                      <c:pt idx="204">
                        <c:v>40.404040404040408</c:v>
                      </c:pt>
                      <c:pt idx="205">
                        <c:v>35.70737995488237</c:v>
                      </c:pt>
                      <c:pt idx="206">
                        <c:v>33.736312424837017</c:v>
                      </c:pt>
                      <c:pt idx="207">
                        <c:v>31.818181818181817</c:v>
                      </c:pt>
                      <c:pt idx="208">
                        <c:v>35.809104448617497</c:v>
                      </c:pt>
                      <c:pt idx="209">
                        <c:v>33.891651400157031</c:v>
                      </c:pt>
                      <c:pt idx="210">
                        <c:v>39.813824768853387</c:v>
                      </c:pt>
                      <c:pt idx="211">
                        <c:v>39.297409943435547</c:v>
                      </c:pt>
                      <c:pt idx="212">
                        <c:v>33.408408408408413</c:v>
                      </c:pt>
                      <c:pt idx="213">
                        <c:v>34.104603518920221</c:v>
                      </c:pt>
                      <c:pt idx="214">
                        <c:v>31.707793476137766</c:v>
                      </c:pt>
                      <c:pt idx="215">
                        <c:v>33.277647844971597</c:v>
                      </c:pt>
                      <c:pt idx="216">
                        <c:v>33.436908943528778</c:v>
                      </c:pt>
                      <c:pt idx="217">
                        <c:v>42.536007538026652</c:v>
                      </c:pt>
                      <c:pt idx="218">
                        <c:v>41.239515377446409</c:v>
                      </c:pt>
                      <c:pt idx="219">
                        <c:v>39.589156861470457</c:v>
                      </c:pt>
                      <c:pt idx="220">
                        <c:v>39.375928677563152</c:v>
                      </c:pt>
                      <c:pt idx="221">
                        <c:v>34.44158129595877</c:v>
                      </c:pt>
                      <c:pt idx="222">
                        <c:v>29.54924874791319</c:v>
                      </c:pt>
                      <c:pt idx="223">
                        <c:v>33.765889830508478</c:v>
                      </c:pt>
                      <c:pt idx="224">
                        <c:v>36.16054524801212</c:v>
                      </c:pt>
                      <c:pt idx="225">
                        <c:v>37.437784029430865</c:v>
                      </c:pt>
                      <c:pt idx="226">
                        <c:v>32.676477924669499</c:v>
                      </c:pt>
                      <c:pt idx="227">
                        <c:v>31.030550387131626</c:v>
                      </c:pt>
                      <c:pt idx="228">
                        <c:v>34.655609876848814</c:v>
                      </c:pt>
                      <c:pt idx="229">
                        <c:v>36.10569897710667</c:v>
                      </c:pt>
                      <c:pt idx="230">
                        <c:v>46.020192533458555</c:v>
                      </c:pt>
                      <c:pt idx="231">
                        <c:v>37.179487179487182</c:v>
                      </c:pt>
                      <c:pt idx="232">
                        <c:v>33.249301628398179</c:v>
                      </c:pt>
                      <c:pt idx="233">
                        <c:v>36.567078094359211</c:v>
                      </c:pt>
                      <c:pt idx="234">
                        <c:v>32.408325074331024</c:v>
                      </c:pt>
                      <c:pt idx="235">
                        <c:v>34.186241610738257</c:v>
                      </c:pt>
                      <c:pt idx="236">
                        <c:v>31.945895419805353</c:v>
                      </c:pt>
                      <c:pt idx="237">
                        <c:v>36.078717201166185</c:v>
                      </c:pt>
                      <c:pt idx="238">
                        <c:v>38.59146865158889</c:v>
                      </c:pt>
                      <c:pt idx="239">
                        <c:v>38.939157566302654</c:v>
                      </c:pt>
                      <c:pt idx="240">
                        <c:v>35.615010423905488</c:v>
                      </c:pt>
                      <c:pt idx="241">
                        <c:v>36.984961486734313</c:v>
                      </c:pt>
                      <c:pt idx="242">
                        <c:v>37.221970040853385</c:v>
                      </c:pt>
                      <c:pt idx="243">
                        <c:v>33.696605286233243</c:v>
                      </c:pt>
                      <c:pt idx="244">
                        <c:v>35.92336349121873</c:v>
                      </c:pt>
                      <c:pt idx="245">
                        <c:v>38.95576897064791</c:v>
                      </c:pt>
                      <c:pt idx="246">
                        <c:v>41.310909874946091</c:v>
                      </c:pt>
                      <c:pt idx="247">
                        <c:v>37.781954887218049</c:v>
                      </c:pt>
                      <c:pt idx="248">
                        <c:v>34.707395850440683</c:v>
                      </c:pt>
                      <c:pt idx="249">
                        <c:v>35.662824207492797</c:v>
                      </c:pt>
                      <c:pt idx="250">
                        <c:v>36.554674720020138</c:v>
                      </c:pt>
                      <c:pt idx="251">
                        <c:v>36.258299700559824</c:v>
                      </c:pt>
                      <c:pt idx="252">
                        <c:v>37.965425531914889</c:v>
                      </c:pt>
                      <c:pt idx="253">
                        <c:v>36.234128213069063</c:v>
                      </c:pt>
                      <c:pt idx="254">
                        <c:v>35.236866791744845</c:v>
                      </c:pt>
                      <c:pt idx="255">
                        <c:v>31.570549350353318</c:v>
                      </c:pt>
                      <c:pt idx="256">
                        <c:v>39.199332777314432</c:v>
                      </c:pt>
                      <c:pt idx="257">
                        <c:v>37.982805081483384</c:v>
                      </c:pt>
                      <c:pt idx="258">
                        <c:v>33.712925432670652</c:v>
                      </c:pt>
                      <c:pt idx="259">
                        <c:v>34.711181770005297</c:v>
                      </c:pt>
                      <c:pt idx="260">
                        <c:v>43.731100255873457</c:v>
                      </c:pt>
                      <c:pt idx="261">
                        <c:v>34.926140781053768</c:v>
                      </c:pt>
                      <c:pt idx="262">
                        <c:v>36.450167973124302</c:v>
                      </c:pt>
                      <c:pt idx="263">
                        <c:v>38.714073339940533</c:v>
                      </c:pt>
                      <c:pt idx="264">
                        <c:v>38.459001253380826</c:v>
                      </c:pt>
                      <c:pt idx="265">
                        <c:v>37.780247074972216</c:v>
                      </c:pt>
                      <c:pt idx="266">
                        <c:v>31.569555967332374</c:v>
                      </c:pt>
                      <c:pt idx="267">
                        <c:v>42.525174283501158</c:v>
                      </c:pt>
                      <c:pt idx="268">
                        <c:v>36.113276175630034</c:v>
                      </c:pt>
                      <c:pt idx="269">
                        <c:v>35.026822341432634</c:v>
                      </c:pt>
                      <c:pt idx="270">
                        <c:v>41.817450743868115</c:v>
                      </c:pt>
                      <c:pt idx="271">
                        <c:v>38.356164383561648</c:v>
                      </c:pt>
                      <c:pt idx="272">
                        <c:v>38.356164383561648</c:v>
                      </c:pt>
                      <c:pt idx="273">
                        <c:v>42.919243249862248</c:v>
                      </c:pt>
                      <c:pt idx="274">
                        <c:v>36.922861346598474</c:v>
                      </c:pt>
                      <c:pt idx="275">
                        <c:v>34.352649659289298</c:v>
                      </c:pt>
                      <c:pt idx="276">
                        <c:v>30.907735535294453</c:v>
                      </c:pt>
                      <c:pt idx="277">
                        <c:v>33.542319749216304</c:v>
                      </c:pt>
                      <c:pt idx="278">
                        <c:v>39.219512195121951</c:v>
                      </c:pt>
                      <c:pt idx="279">
                        <c:v>36.753040719196193</c:v>
                      </c:pt>
                      <c:pt idx="280">
                        <c:v>47.307430129516021</c:v>
                      </c:pt>
                      <c:pt idx="281">
                        <c:v>45.868493608488599</c:v>
                      </c:pt>
                      <c:pt idx="282">
                        <c:v>35.835023664638271</c:v>
                      </c:pt>
                      <c:pt idx="283">
                        <c:v>36.418535863938871</c:v>
                      </c:pt>
                      <c:pt idx="284">
                        <c:v>39.125508231687</c:v>
                      </c:pt>
                      <c:pt idx="285">
                        <c:v>36.837913181999198</c:v>
                      </c:pt>
                      <c:pt idx="286">
                        <c:v>34.575722855024601</c:v>
                      </c:pt>
                      <c:pt idx="287">
                        <c:v>38.820605816374503</c:v>
                      </c:pt>
                      <c:pt idx="288">
                        <c:v>39.330279576686145</c:v>
                      </c:pt>
                      <c:pt idx="289">
                        <c:v>30.512904279647174</c:v>
                      </c:pt>
                      <c:pt idx="290">
                        <c:v>37.350789372352715</c:v>
                      </c:pt>
                      <c:pt idx="291">
                        <c:v>33.172746042670333</c:v>
                      </c:pt>
                      <c:pt idx="292">
                        <c:v>38.388367984780544</c:v>
                      </c:pt>
                      <c:pt idx="293">
                        <c:v>33.155080213903744</c:v>
                      </c:pt>
                      <c:pt idx="294">
                        <c:v>36.167647684561373</c:v>
                      </c:pt>
                      <c:pt idx="295">
                        <c:v>40.013592727890583</c:v>
                      </c:pt>
                      <c:pt idx="296">
                        <c:v>37.230388789668908</c:v>
                      </c:pt>
                      <c:pt idx="297">
                        <c:v>30.445111277819457</c:v>
                      </c:pt>
                      <c:pt idx="298">
                        <c:v>33.236228813559322</c:v>
                      </c:pt>
                      <c:pt idx="299">
                        <c:v>36.927728188885695</c:v>
                      </c:pt>
                      <c:pt idx="300">
                        <c:v>39.341458199700661</c:v>
                      </c:pt>
                      <c:pt idx="301">
                        <c:v>40.417672964909784</c:v>
                      </c:pt>
                      <c:pt idx="302">
                        <c:v>46.134020618556704</c:v>
                      </c:pt>
                      <c:pt idx="303">
                        <c:v>35.2949254961203</c:v>
                      </c:pt>
                      <c:pt idx="304">
                        <c:v>36.618567928124151</c:v>
                      </c:pt>
                      <c:pt idx="305">
                        <c:v>39.886660854402791</c:v>
                      </c:pt>
                      <c:pt idx="306">
                        <c:v>35.965707116470341</c:v>
                      </c:pt>
                      <c:pt idx="307">
                        <c:v>40.886699507389167</c:v>
                      </c:pt>
                      <c:pt idx="308">
                        <c:v>42.31414605675932</c:v>
                      </c:pt>
                      <c:pt idx="309">
                        <c:v>40.165488708843306</c:v>
                      </c:pt>
                      <c:pt idx="310">
                        <c:v>33.287482806052267</c:v>
                      </c:pt>
                      <c:pt idx="311">
                        <c:v>33.309617747881774</c:v>
                      </c:pt>
                      <c:pt idx="312">
                        <c:v>37.552062340454121</c:v>
                      </c:pt>
                      <c:pt idx="313">
                        <c:v>37.596626844694306</c:v>
                      </c:pt>
                      <c:pt idx="314">
                        <c:v>36.273701566364387</c:v>
                      </c:pt>
                      <c:pt idx="315">
                        <c:v>37.414491134999302</c:v>
                      </c:pt>
                      <c:pt idx="316">
                        <c:v>46.247948679695661</c:v>
                      </c:pt>
                      <c:pt idx="317">
                        <c:v>40.283070223189988</c:v>
                      </c:pt>
                      <c:pt idx="318">
                        <c:v>34.962812281482421</c:v>
                      </c:pt>
                      <c:pt idx="319">
                        <c:v>36.933847692527507</c:v>
                      </c:pt>
                      <c:pt idx="320">
                        <c:v>36.649582250930287</c:v>
                      </c:pt>
                      <c:pt idx="321">
                        <c:v>35.269867928849528</c:v>
                      </c:pt>
                      <c:pt idx="322">
                        <c:v>34.427597718736955</c:v>
                      </c:pt>
                      <c:pt idx="323">
                        <c:v>40.274715957266409</c:v>
                      </c:pt>
                      <c:pt idx="324">
                        <c:v>37.207726194510336</c:v>
                      </c:pt>
                      <c:pt idx="325">
                        <c:v>30.432836775142253</c:v>
                      </c:pt>
                      <c:pt idx="326">
                        <c:v>38.67289462838302</c:v>
                      </c:pt>
                      <c:pt idx="327">
                        <c:v>36.306235201262822</c:v>
                      </c:pt>
                      <c:pt idx="328">
                        <c:v>37.196845707484009</c:v>
                      </c:pt>
                      <c:pt idx="329">
                        <c:v>37.073024889752595</c:v>
                      </c:pt>
                      <c:pt idx="330">
                        <c:v>36.235086168802475</c:v>
                      </c:pt>
                      <c:pt idx="331">
                        <c:v>34.662166912746962</c:v>
                      </c:pt>
                      <c:pt idx="332">
                        <c:v>34.798298749838899</c:v>
                      </c:pt>
                      <c:pt idx="333">
                        <c:v>34.698935704913254</c:v>
                      </c:pt>
                      <c:pt idx="334">
                        <c:v>33.032821524158329</c:v>
                      </c:pt>
                      <c:pt idx="335">
                        <c:v>46.531791907514446</c:v>
                      </c:pt>
                      <c:pt idx="336">
                        <c:v>38.866728035184614</c:v>
                      </c:pt>
                      <c:pt idx="337">
                        <c:v>33.32407664537628</c:v>
                      </c:pt>
                      <c:pt idx="338">
                        <c:v>32.731722239216886</c:v>
                      </c:pt>
                      <c:pt idx="339">
                        <c:v>30.205179952909518</c:v>
                      </c:pt>
                      <c:pt idx="340">
                        <c:v>39.186581564494581</c:v>
                      </c:pt>
                      <c:pt idx="341">
                        <c:v>33.536936729284314</c:v>
                      </c:pt>
                      <c:pt idx="342">
                        <c:v>25.433992733144933</c:v>
                      </c:pt>
                      <c:pt idx="343">
                        <c:v>27.742239579826276</c:v>
                      </c:pt>
                      <c:pt idx="344">
                        <c:v>31.196287383980749</c:v>
                      </c:pt>
                      <c:pt idx="345">
                        <c:v>30.313588850174213</c:v>
                      </c:pt>
                      <c:pt idx="346">
                        <c:v>30.616958099637085</c:v>
                      </c:pt>
                      <c:pt idx="347">
                        <c:v>32.12627669452182</c:v>
                      </c:pt>
                      <c:pt idx="348">
                        <c:v>31.076301162203134</c:v>
                      </c:pt>
                      <c:pt idx="349">
                        <c:v>28.402771836769613</c:v>
                      </c:pt>
                      <c:pt idx="350">
                        <c:v>31.969074062710927</c:v>
                      </c:pt>
                      <c:pt idx="351">
                        <c:v>36.634149764895781</c:v>
                      </c:pt>
                      <c:pt idx="352">
                        <c:v>31.914893617021274</c:v>
                      </c:pt>
                      <c:pt idx="353">
                        <c:v>32.036209734305196</c:v>
                      </c:pt>
                      <c:pt idx="354">
                        <c:v>31.826657236546005</c:v>
                      </c:pt>
                      <c:pt idx="355">
                        <c:v>34.616906237636819</c:v>
                      </c:pt>
                      <c:pt idx="356">
                        <c:v>36.00643690492155</c:v>
                      </c:pt>
                      <c:pt idx="357">
                        <c:v>29.319371727748692</c:v>
                      </c:pt>
                      <c:pt idx="358">
                        <c:v>36.989998412446418</c:v>
                      </c:pt>
                      <c:pt idx="359">
                        <c:v>32.238766285562356</c:v>
                      </c:pt>
                      <c:pt idx="360">
                        <c:v>26.729275781108903</c:v>
                      </c:pt>
                      <c:pt idx="361">
                        <c:v>33.062880324543613</c:v>
                      </c:pt>
                      <c:pt idx="362">
                        <c:v>34.213767620090323</c:v>
                      </c:pt>
                      <c:pt idx="363">
                        <c:v>32.699892434564354</c:v>
                      </c:pt>
                      <c:pt idx="364">
                        <c:v>41.607798813224072</c:v>
                      </c:pt>
                      <c:pt idx="365">
                        <c:v>34.305894223492814</c:v>
                      </c:pt>
                      <c:pt idx="366">
                        <c:v>33.297957017776596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DanePolicja!$H$2:$H$368</c15:sqref>
                        </c15:formulaRef>
                      </c:ext>
                    </c:extLst>
                    <c:numCache>
                      <c:formatCode>General</c:formatCode>
                      <c:ptCount val="367"/>
                      <c:pt idx="0">
                        <c:v>16235</c:v>
                      </c:pt>
                      <c:pt idx="1">
                        <c:v>14338</c:v>
                      </c:pt>
                      <c:pt idx="2">
                        <c:v>16697</c:v>
                      </c:pt>
                      <c:pt idx="3">
                        <c:v>17506</c:v>
                      </c:pt>
                      <c:pt idx="4">
                        <c:v>15830</c:v>
                      </c:pt>
                      <c:pt idx="5">
                        <c:v>15716</c:v>
                      </c:pt>
                      <c:pt idx="6">
                        <c:v>15395</c:v>
                      </c:pt>
                      <c:pt idx="7">
                        <c:v>15421</c:v>
                      </c:pt>
                      <c:pt idx="8">
                        <c:v>13749</c:v>
                      </c:pt>
                      <c:pt idx="9">
                        <c:v>15768</c:v>
                      </c:pt>
                      <c:pt idx="10">
                        <c:v>16589</c:v>
                      </c:pt>
                      <c:pt idx="11">
                        <c:v>16209</c:v>
                      </c:pt>
                      <c:pt idx="12">
                        <c:v>15528</c:v>
                      </c:pt>
                      <c:pt idx="13">
                        <c:v>15372</c:v>
                      </c:pt>
                      <c:pt idx="14">
                        <c:v>15079</c:v>
                      </c:pt>
                      <c:pt idx="15">
                        <c:v>14087</c:v>
                      </c:pt>
                      <c:pt idx="16">
                        <c:v>16363</c:v>
                      </c:pt>
                      <c:pt idx="17">
                        <c:v>16956</c:v>
                      </c:pt>
                      <c:pt idx="18">
                        <c:v>15262</c:v>
                      </c:pt>
                      <c:pt idx="19">
                        <c:v>15360</c:v>
                      </c:pt>
                      <c:pt idx="20">
                        <c:v>15643</c:v>
                      </c:pt>
                      <c:pt idx="21">
                        <c:v>15917</c:v>
                      </c:pt>
                      <c:pt idx="22">
                        <c:v>13125</c:v>
                      </c:pt>
                      <c:pt idx="23">
                        <c:v>16140</c:v>
                      </c:pt>
                      <c:pt idx="24">
                        <c:v>16673</c:v>
                      </c:pt>
                      <c:pt idx="25">
                        <c:v>15466</c:v>
                      </c:pt>
                      <c:pt idx="26">
                        <c:v>15699</c:v>
                      </c:pt>
                      <c:pt idx="27">
                        <c:v>12934</c:v>
                      </c:pt>
                      <c:pt idx="28">
                        <c:v>16203</c:v>
                      </c:pt>
                      <c:pt idx="29">
                        <c:v>13521</c:v>
                      </c:pt>
                      <c:pt idx="30">
                        <c:v>16895</c:v>
                      </c:pt>
                      <c:pt idx="31">
                        <c:v>17959</c:v>
                      </c:pt>
                      <c:pt idx="32">
                        <c:v>16015</c:v>
                      </c:pt>
                      <c:pt idx="33">
                        <c:v>16018</c:v>
                      </c:pt>
                      <c:pt idx="34">
                        <c:v>16269</c:v>
                      </c:pt>
                      <c:pt idx="35">
                        <c:v>15374</c:v>
                      </c:pt>
                      <c:pt idx="36">
                        <c:v>13601</c:v>
                      </c:pt>
                      <c:pt idx="37">
                        <c:v>15985</c:v>
                      </c:pt>
                      <c:pt idx="38">
                        <c:v>21130</c:v>
                      </c:pt>
                      <c:pt idx="39">
                        <c:v>17070</c:v>
                      </c:pt>
                      <c:pt idx="40">
                        <c:v>16496</c:v>
                      </c:pt>
                      <c:pt idx="41">
                        <c:v>15715</c:v>
                      </c:pt>
                      <c:pt idx="42">
                        <c:v>15858</c:v>
                      </c:pt>
                      <c:pt idx="43">
                        <c:v>13779</c:v>
                      </c:pt>
                      <c:pt idx="44">
                        <c:v>16565</c:v>
                      </c:pt>
                      <c:pt idx="45">
                        <c:v>16968</c:v>
                      </c:pt>
                      <c:pt idx="46">
                        <c:v>16718</c:v>
                      </c:pt>
                      <c:pt idx="47">
                        <c:v>16172</c:v>
                      </c:pt>
                      <c:pt idx="48">
                        <c:v>15560</c:v>
                      </c:pt>
                      <c:pt idx="49">
                        <c:v>16005</c:v>
                      </c:pt>
                      <c:pt idx="50">
                        <c:v>13668</c:v>
                      </c:pt>
                      <c:pt idx="51">
                        <c:v>15605</c:v>
                      </c:pt>
                      <c:pt idx="52">
                        <c:v>17285</c:v>
                      </c:pt>
                      <c:pt idx="53">
                        <c:v>15786</c:v>
                      </c:pt>
                      <c:pt idx="54">
                        <c:v>16349</c:v>
                      </c:pt>
                      <c:pt idx="55">
                        <c:v>14779</c:v>
                      </c:pt>
                      <c:pt idx="56">
                        <c:v>15808</c:v>
                      </c:pt>
                      <c:pt idx="57">
                        <c:v>13796</c:v>
                      </c:pt>
                      <c:pt idx="58">
                        <c:v>16534</c:v>
                      </c:pt>
                      <c:pt idx="59">
                        <c:v>17553</c:v>
                      </c:pt>
                      <c:pt idx="60">
                        <c:v>16148</c:v>
                      </c:pt>
                      <c:pt idx="61">
                        <c:v>15705</c:v>
                      </c:pt>
                      <c:pt idx="62">
                        <c:v>15217</c:v>
                      </c:pt>
                      <c:pt idx="63">
                        <c:v>15005</c:v>
                      </c:pt>
                      <c:pt idx="64">
                        <c:v>12802</c:v>
                      </c:pt>
                      <c:pt idx="65">
                        <c:v>15449</c:v>
                      </c:pt>
                      <c:pt idx="66">
                        <c:v>16745</c:v>
                      </c:pt>
                      <c:pt idx="67">
                        <c:v>15468</c:v>
                      </c:pt>
                      <c:pt idx="68">
                        <c:v>15077</c:v>
                      </c:pt>
                      <c:pt idx="69">
                        <c:v>13676</c:v>
                      </c:pt>
                      <c:pt idx="70">
                        <c:v>14702</c:v>
                      </c:pt>
                      <c:pt idx="71">
                        <c:v>13084</c:v>
                      </c:pt>
                      <c:pt idx="72">
                        <c:v>16373</c:v>
                      </c:pt>
                      <c:pt idx="73">
                        <c:v>16168</c:v>
                      </c:pt>
                      <c:pt idx="74">
                        <c:v>14922</c:v>
                      </c:pt>
                      <c:pt idx="75">
                        <c:v>14975</c:v>
                      </c:pt>
                      <c:pt idx="76">
                        <c:v>14995</c:v>
                      </c:pt>
                      <c:pt idx="77">
                        <c:v>16069</c:v>
                      </c:pt>
                      <c:pt idx="78">
                        <c:v>16269</c:v>
                      </c:pt>
                      <c:pt idx="79">
                        <c:v>16676</c:v>
                      </c:pt>
                      <c:pt idx="80">
                        <c:v>17423</c:v>
                      </c:pt>
                      <c:pt idx="81">
                        <c:v>15813</c:v>
                      </c:pt>
                      <c:pt idx="82">
                        <c:v>14940</c:v>
                      </c:pt>
                      <c:pt idx="83">
                        <c:v>15031</c:v>
                      </c:pt>
                      <c:pt idx="84">
                        <c:v>15522</c:v>
                      </c:pt>
                      <c:pt idx="85">
                        <c:v>13757</c:v>
                      </c:pt>
                      <c:pt idx="86">
                        <c:v>17461</c:v>
                      </c:pt>
                      <c:pt idx="87">
                        <c:v>18277</c:v>
                      </c:pt>
                      <c:pt idx="88">
                        <c:v>16052</c:v>
                      </c:pt>
                      <c:pt idx="89">
                        <c:v>16648</c:v>
                      </c:pt>
                      <c:pt idx="90">
                        <c:v>15912</c:v>
                      </c:pt>
                      <c:pt idx="91">
                        <c:v>15920</c:v>
                      </c:pt>
                      <c:pt idx="92">
                        <c:v>14848</c:v>
                      </c:pt>
                      <c:pt idx="93">
                        <c:v>17483</c:v>
                      </c:pt>
                      <c:pt idx="94">
                        <c:v>18669</c:v>
                      </c:pt>
                      <c:pt idx="95">
                        <c:v>16742</c:v>
                      </c:pt>
                      <c:pt idx="96">
                        <c:v>16321</c:v>
                      </c:pt>
                      <c:pt idx="97">
                        <c:v>16710</c:v>
                      </c:pt>
                      <c:pt idx="98">
                        <c:v>16679</c:v>
                      </c:pt>
                      <c:pt idx="99">
                        <c:v>16762</c:v>
                      </c:pt>
                      <c:pt idx="100">
                        <c:v>18664</c:v>
                      </c:pt>
                      <c:pt idx="101">
                        <c:v>18006</c:v>
                      </c:pt>
                      <c:pt idx="102">
                        <c:v>16583</c:v>
                      </c:pt>
                      <c:pt idx="103">
                        <c:v>15281</c:v>
                      </c:pt>
                      <c:pt idx="104">
                        <c:v>15460</c:v>
                      </c:pt>
                      <c:pt idx="105">
                        <c:v>14729</c:v>
                      </c:pt>
                      <c:pt idx="106">
                        <c:v>13014</c:v>
                      </c:pt>
                      <c:pt idx="107">
                        <c:v>15419</c:v>
                      </c:pt>
                      <c:pt idx="108">
                        <c:v>16515</c:v>
                      </c:pt>
                      <c:pt idx="109">
                        <c:v>16439</c:v>
                      </c:pt>
                      <c:pt idx="110">
                        <c:v>16418</c:v>
                      </c:pt>
                      <c:pt idx="111">
                        <c:v>16235</c:v>
                      </c:pt>
                      <c:pt idx="112">
                        <c:v>16482</c:v>
                      </c:pt>
                      <c:pt idx="113">
                        <c:v>16179</c:v>
                      </c:pt>
                      <c:pt idx="114">
                        <c:v>19030</c:v>
                      </c:pt>
                      <c:pt idx="115">
                        <c:v>18001</c:v>
                      </c:pt>
                      <c:pt idx="116">
                        <c:v>19330</c:v>
                      </c:pt>
                      <c:pt idx="117">
                        <c:v>17151</c:v>
                      </c:pt>
                      <c:pt idx="118">
                        <c:v>16906</c:v>
                      </c:pt>
                      <c:pt idx="119">
                        <c:v>16667</c:v>
                      </c:pt>
                      <c:pt idx="120">
                        <c:v>15964</c:v>
                      </c:pt>
                      <c:pt idx="121">
                        <c:v>18858</c:v>
                      </c:pt>
                      <c:pt idx="122">
                        <c:v>17525</c:v>
                      </c:pt>
                      <c:pt idx="123">
                        <c:v>16071</c:v>
                      </c:pt>
                      <c:pt idx="124">
                        <c:v>15254</c:v>
                      </c:pt>
                      <c:pt idx="125">
                        <c:v>15374</c:v>
                      </c:pt>
                      <c:pt idx="126">
                        <c:v>15597</c:v>
                      </c:pt>
                      <c:pt idx="127">
                        <c:v>15008</c:v>
                      </c:pt>
                      <c:pt idx="128">
                        <c:v>17935</c:v>
                      </c:pt>
                      <c:pt idx="129">
                        <c:v>16677</c:v>
                      </c:pt>
                      <c:pt idx="130">
                        <c:v>16414</c:v>
                      </c:pt>
                      <c:pt idx="131">
                        <c:v>16561</c:v>
                      </c:pt>
                      <c:pt idx="132">
                        <c:v>16385</c:v>
                      </c:pt>
                      <c:pt idx="133">
                        <c:v>15698</c:v>
                      </c:pt>
                      <c:pt idx="134">
                        <c:v>16037</c:v>
                      </c:pt>
                      <c:pt idx="135">
                        <c:v>18388</c:v>
                      </c:pt>
                      <c:pt idx="136">
                        <c:v>18421</c:v>
                      </c:pt>
                      <c:pt idx="137">
                        <c:v>17014</c:v>
                      </c:pt>
                      <c:pt idx="138">
                        <c:v>16544</c:v>
                      </c:pt>
                      <c:pt idx="139">
                        <c:v>16659</c:v>
                      </c:pt>
                      <c:pt idx="140">
                        <c:v>17325</c:v>
                      </c:pt>
                      <c:pt idx="141">
                        <c:v>16633</c:v>
                      </c:pt>
                      <c:pt idx="142">
                        <c:v>18884</c:v>
                      </c:pt>
                      <c:pt idx="143">
                        <c:v>17659</c:v>
                      </c:pt>
                      <c:pt idx="144">
                        <c:v>16039</c:v>
                      </c:pt>
                      <c:pt idx="145">
                        <c:v>16121</c:v>
                      </c:pt>
                      <c:pt idx="146">
                        <c:v>16693</c:v>
                      </c:pt>
                      <c:pt idx="147">
                        <c:v>16961</c:v>
                      </c:pt>
                      <c:pt idx="148">
                        <c:v>15231</c:v>
                      </c:pt>
                      <c:pt idx="149">
                        <c:v>17171</c:v>
                      </c:pt>
                      <c:pt idx="150">
                        <c:v>17020</c:v>
                      </c:pt>
                      <c:pt idx="151">
                        <c:v>15884</c:v>
                      </c:pt>
                      <c:pt idx="152">
                        <c:v>15161</c:v>
                      </c:pt>
                      <c:pt idx="153">
                        <c:v>15679</c:v>
                      </c:pt>
                      <c:pt idx="154">
                        <c:v>16819</c:v>
                      </c:pt>
                      <c:pt idx="155">
                        <c:v>17000</c:v>
                      </c:pt>
                      <c:pt idx="156">
                        <c:v>18356</c:v>
                      </c:pt>
                      <c:pt idx="157">
                        <c:v>17782</c:v>
                      </c:pt>
                      <c:pt idx="158">
                        <c:v>17446</c:v>
                      </c:pt>
                      <c:pt idx="159">
                        <c:v>17530</c:v>
                      </c:pt>
                      <c:pt idx="160">
                        <c:v>17113</c:v>
                      </c:pt>
                      <c:pt idx="161">
                        <c:v>16932</c:v>
                      </c:pt>
                      <c:pt idx="162">
                        <c:v>17157</c:v>
                      </c:pt>
                      <c:pt idx="163">
                        <c:v>19015</c:v>
                      </c:pt>
                      <c:pt idx="164">
                        <c:v>18575</c:v>
                      </c:pt>
                      <c:pt idx="165">
                        <c:v>17400</c:v>
                      </c:pt>
                      <c:pt idx="166">
                        <c:v>16351</c:v>
                      </c:pt>
                      <c:pt idx="167">
                        <c:v>16002</c:v>
                      </c:pt>
                      <c:pt idx="168">
                        <c:v>17094</c:v>
                      </c:pt>
                      <c:pt idx="169">
                        <c:v>15767</c:v>
                      </c:pt>
                      <c:pt idx="170">
                        <c:v>17237</c:v>
                      </c:pt>
                      <c:pt idx="171">
                        <c:v>17430</c:v>
                      </c:pt>
                      <c:pt idx="172">
                        <c:v>15023</c:v>
                      </c:pt>
                      <c:pt idx="173">
                        <c:v>17983</c:v>
                      </c:pt>
                      <c:pt idx="174">
                        <c:v>16560</c:v>
                      </c:pt>
                      <c:pt idx="175">
                        <c:v>15999</c:v>
                      </c:pt>
                      <c:pt idx="176">
                        <c:v>15997</c:v>
                      </c:pt>
                      <c:pt idx="177">
                        <c:v>17739</c:v>
                      </c:pt>
                      <c:pt idx="178">
                        <c:v>17711</c:v>
                      </c:pt>
                      <c:pt idx="179">
                        <c:v>16286</c:v>
                      </c:pt>
                      <c:pt idx="180">
                        <c:v>14847</c:v>
                      </c:pt>
                      <c:pt idx="181">
                        <c:v>15284</c:v>
                      </c:pt>
                      <c:pt idx="182">
                        <c:v>14852</c:v>
                      </c:pt>
                      <c:pt idx="183">
                        <c:v>13512</c:v>
                      </c:pt>
                      <c:pt idx="184">
                        <c:v>17108</c:v>
                      </c:pt>
                      <c:pt idx="185">
                        <c:v>18579</c:v>
                      </c:pt>
                      <c:pt idx="186">
                        <c:v>17048</c:v>
                      </c:pt>
                      <c:pt idx="187">
                        <c:v>17127</c:v>
                      </c:pt>
                      <c:pt idx="188">
                        <c:v>16683</c:v>
                      </c:pt>
                      <c:pt idx="189">
                        <c:v>16668</c:v>
                      </c:pt>
                      <c:pt idx="190">
                        <c:v>18083</c:v>
                      </c:pt>
                      <c:pt idx="191">
                        <c:v>18363</c:v>
                      </c:pt>
                      <c:pt idx="192">
                        <c:v>17435</c:v>
                      </c:pt>
                      <c:pt idx="193">
                        <c:v>15531</c:v>
                      </c:pt>
                      <c:pt idx="194">
                        <c:v>15774</c:v>
                      </c:pt>
                      <c:pt idx="195">
                        <c:v>16361</c:v>
                      </c:pt>
                      <c:pt idx="196">
                        <c:v>15704</c:v>
                      </c:pt>
                      <c:pt idx="197">
                        <c:v>14363</c:v>
                      </c:pt>
                      <c:pt idx="198">
                        <c:v>16838</c:v>
                      </c:pt>
                      <c:pt idx="199">
                        <c:v>16999</c:v>
                      </c:pt>
                      <c:pt idx="200">
                        <c:v>16139</c:v>
                      </c:pt>
                      <c:pt idx="201">
                        <c:v>16407</c:v>
                      </c:pt>
                      <c:pt idx="202">
                        <c:v>16262</c:v>
                      </c:pt>
                      <c:pt idx="203">
                        <c:v>14882</c:v>
                      </c:pt>
                      <c:pt idx="204">
                        <c:v>14256</c:v>
                      </c:pt>
                      <c:pt idx="205">
                        <c:v>15515</c:v>
                      </c:pt>
                      <c:pt idx="206">
                        <c:v>15799</c:v>
                      </c:pt>
                      <c:pt idx="207">
                        <c:v>15400</c:v>
                      </c:pt>
                      <c:pt idx="208">
                        <c:v>15443</c:v>
                      </c:pt>
                      <c:pt idx="209">
                        <c:v>15284</c:v>
                      </c:pt>
                      <c:pt idx="210">
                        <c:v>15899</c:v>
                      </c:pt>
                      <c:pt idx="211">
                        <c:v>13436</c:v>
                      </c:pt>
                      <c:pt idx="212">
                        <c:v>15984</c:v>
                      </c:pt>
                      <c:pt idx="213">
                        <c:v>16596</c:v>
                      </c:pt>
                      <c:pt idx="214">
                        <c:v>15359</c:v>
                      </c:pt>
                      <c:pt idx="215">
                        <c:v>14965</c:v>
                      </c:pt>
                      <c:pt idx="216">
                        <c:v>14804</c:v>
                      </c:pt>
                      <c:pt idx="217">
                        <c:v>14858</c:v>
                      </c:pt>
                      <c:pt idx="218">
                        <c:v>12876</c:v>
                      </c:pt>
                      <c:pt idx="219">
                        <c:v>15383</c:v>
                      </c:pt>
                      <c:pt idx="220">
                        <c:v>17498</c:v>
                      </c:pt>
                      <c:pt idx="221">
                        <c:v>15911</c:v>
                      </c:pt>
                      <c:pt idx="222">
                        <c:v>17970</c:v>
                      </c:pt>
                      <c:pt idx="223">
                        <c:v>15104</c:v>
                      </c:pt>
                      <c:pt idx="224">
                        <c:v>15846</c:v>
                      </c:pt>
                      <c:pt idx="225">
                        <c:v>13863</c:v>
                      </c:pt>
                      <c:pt idx="226">
                        <c:v>16036</c:v>
                      </c:pt>
                      <c:pt idx="227">
                        <c:v>16661</c:v>
                      </c:pt>
                      <c:pt idx="228">
                        <c:v>16159</c:v>
                      </c:pt>
                      <c:pt idx="229">
                        <c:v>16424</c:v>
                      </c:pt>
                      <c:pt idx="230">
                        <c:v>17036</c:v>
                      </c:pt>
                      <c:pt idx="231">
                        <c:v>14820</c:v>
                      </c:pt>
                      <c:pt idx="232">
                        <c:v>14677</c:v>
                      </c:pt>
                      <c:pt idx="233">
                        <c:v>17338</c:v>
                      </c:pt>
                      <c:pt idx="234">
                        <c:v>20180</c:v>
                      </c:pt>
                      <c:pt idx="235">
                        <c:v>19072</c:v>
                      </c:pt>
                      <c:pt idx="236">
                        <c:v>18187</c:v>
                      </c:pt>
                      <c:pt idx="237">
                        <c:v>16464</c:v>
                      </c:pt>
                      <c:pt idx="238">
                        <c:v>17465</c:v>
                      </c:pt>
                      <c:pt idx="239">
                        <c:v>16025</c:v>
                      </c:pt>
                      <c:pt idx="240">
                        <c:v>17268</c:v>
                      </c:pt>
                      <c:pt idx="241">
                        <c:v>16358</c:v>
                      </c:pt>
                      <c:pt idx="242">
                        <c:v>15421</c:v>
                      </c:pt>
                      <c:pt idx="243">
                        <c:v>15966</c:v>
                      </c:pt>
                      <c:pt idx="244">
                        <c:v>15032</c:v>
                      </c:pt>
                      <c:pt idx="245">
                        <c:v>14786</c:v>
                      </c:pt>
                      <c:pt idx="246">
                        <c:v>11595</c:v>
                      </c:pt>
                      <c:pt idx="247">
                        <c:v>15960</c:v>
                      </c:pt>
                      <c:pt idx="248">
                        <c:v>18267</c:v>
                      </c:pt>
                      <c:pt idx="249">
                        <c:v>16656</c:v>
                      </c:pt>
                      <c:pt idx="250">
                        <c:v>15894</c:v>
                      </c:pt>
                      <c:pt idx="251">
                        <c:v>15362</c:v>
                      </c:pt>
                      <c:pt idx="252">
                        <c:v>15040</c:v>
                      </c:pt>
                      <c:pt idx="253">
                        <c:v>12916</c:v>
                      </c:pt>
                      <c:pt idx="254">
                        <c:v>17056</c:v>
                      </c:pt>
                      <c:pt idx="255">
                        <c:v>17548</c:v>
                      </c:pt>
                      <c:pt idx="256">
                        <c:v>15587</c:v>
                      </c:pt>
                      <c:pt idx="257">
                        <c:v>15586</c:v>
                      </c:pt>
                      <c:pt idx="258">
                        <c:v>15543</c:v>
                      </c:pt>
                      <c:pt idx="259">
                        <c:v>15096</c:v>
                      </c:pt>
                      <c:pt idx="260">
                        <c:v>12897</c:v>
                      </c:pt>
                      <c:pt idx="261">
                        <c:v>16721</c:v>
                      </c:pt>
                      <c:pt idx="262">
                        <c:v>17860</c:v>
                      </c:pt>
                      <c:pt idx="263">
                        <c:v>16144</c:v>
                      </c:pt>
                      <c:pt idx="264">
                        <c:v>15159</c:v>
                      </c:pt>
                      <c:pt idx="265">
                        <c:v>15299</c:v>
                      </c:pt>
                      <c:pt idx="266">
                        <c:v>14571</c:v>
                      </c:pt>
                      <c:pt idx="267">
                        <c:v>12910</c:v>
                      </c:pt>
                      <c:pt idx="268">
                        <c:v>15396</c:v>
                      </c:pt>
                      <c:pt idx="269">
                        <c:v>15845</c:v>
                      </c:pt>
                      <c:pt idx="270">
                        <c:v>14922</c:v>
                      </c:pt>
                      <c:pt idx="271">
                        <c:v>15695</c:v>
                      </c:pt>
                      <c:pt idx="272">
                        <c:v>15695</c:v>
                      </c:pt>
                      <c:pt idx="273">
                        <c:v>16333</c:v>
                      </c:pt>
                      <c:pt idx="274">
                        <c:v>14273</c:v>
                      </c:pt>
                      <c:pt idx="275">
                        <c:v>17757</c:v>
                      </c:pt>
                      <c:pt idx="276">
                        <c:v>17439</c:v>
                      </c:pt>
                      <c:pt idx="277">
                        <c:v>15950</c:v>
                      </c:pt>
                      <c:pt idx="278">
                        <c:v>15375</c:v>
                      </c:pt>
                      <c:pt idx="279">
                        <c:v>15128</c:v>
                      </c:pt>
                      <c:pt idx="280">
                        <c:v>14670</c:v>
                      </c:pt>
                      <c:pt idx="281">
                        <c:v>11969</c:v>
                      </c:pt>
                      <c:pt idx="282">
                        <c:v>14790</c:v>
                      </c:pt>
                      <c:pt idx="283">
                        <c:v>16228</c:v>
                      </c:pt>
                      <c:pt idx="284">
                        <c:v>15003</c:v>
                      </c:pt>
                      <c:pt idx="285">
                        <c:v>15066</c:v>
                      </c:pt>
                      <c:pt idx="286">
                        <c:v>14837</c:v>
                      </c:pt>
                      <c:pt idx="287">
                        <c:v>14889</c:v>
                      </c:pt>
                      <c:pt idx="288">
                        <c:v>12662</c:v>
                      </c:pt>
                      <c:pt idx="289">
                        <c:v>15305</c:v>
                      </c:pt>
                      <c:pt idx="290">
                        <c:v>15582</c:v>
                      </c:pt>
                      <c:pt idx="291">
                        <c:v>14530</c:v>
                      </c:pt>
                      <c:pt idx="292">
                        <c:v>14718</c:v>
                      </c:pt>
                      <c:pt idx="293">
                        <c:v>14025</c:v>
                      </c:pt>
                      <c:pt idx="294">
                        <c:v>14101</c:v>
                      </c:pt>
                      <c:pt idx="295">
                        <c:v>11771</c:v>
                      </c:pt>
                      <c:pt idx="296">
                        <c:v>14558</c:v>
                      </c:pt>
                      <c:pt idx="297">
                        <c:v>15996</c:v>
                      </c:pt>
                      <c:pt idx="298">
                        <c:v>15104</c:v>
                      </c:pt>
                      <c:pt idx="299">
                        <c:v>13892</c:v>
                      </c:pt>
                      <c:pt idx="300">
                        <c:v>14031</c:v>
                      </c:pt>
                      <c:pt idx="301">
                        <c:v>14078</c:v>
                      </c:pt>
                      <c:pt idx="302">
                        <c:v>11640</c:v>
                      </c:pt>
                      <c:pt idx="303">
                        <c:v>14563</c:v>
                      </c:pt>
                      <c:pt idx="304">
                        <c:v>14692</c:v>
                      </c:pt>
                      <c:pt idx="305">
                        <c:v>13764</c:v>
                      </c:pt>
                      <c:pt idx="306">
                        <c:v>14347</c:v>
                      </c:pt>
                      <c:pt idx="307">
                        <c:v>14210</c:v>
                      </c:pt>
                      <c:pt idx="308">
                        <c:v>13707</c:v>
                      </c:pt>
                      <c:pt idx="309">
                        <c:v>11602</c:v>
                      </c:pt>
                      <c:pt idx="310">
                        <c:v>14540</c:v>
                      </c:pt>
                      <c:pt idx="311">
                        <c:v>15461</c:v>
                      </c:pt>
                      <c:pt idx="312">
                        <c:v>14886</c:v>
                      </c:pt>
                      <c:pt idx="313">
                        <c:v>14230</c:v>
                      </c:pt>
                      <c:pt idx="314">
                        <c:v>14556</c:v>
                      </c:pt>
                      <c:pt idx="315">
                        <c:v>14326</c:v>
                      </c:pt>
                      <c:pt idx="316">
                        <c:v>13406</c:v>
                      </c:pt>
                      <c:pt idx="317">
                        <c:v>14696</c:v>
                      </c:pt>
                      <c:pt idx="318">
                        <c:v>15731</c:v>
                      </c:pt>
                      <c:pt idx="319">
                        <c:v>13998</c:v>
                      </c:pt>
                      <c:pt idx="320">
                        <c:v>14243</c:v>
                      </c:pt>
                      <c:pt idx="321">
                        <c:v>13099</c:v>
                      </c:pt>
                      <c:pt idx="322">
                        <c:v>14378</c:v>
                      </c:pt>
                      <c:pt idx="323">
                        <c:v>11794</c:v>
                      </c:pt>
                      <c:pt idx="324">
                        <c:v>14755</c:v>
                      </c:pt>
                      <c:pt idx="325">
                        <c:v>15641</c:v>
                      </c:pt>
                      <c:pt idx="326">
                        <c:v>14558</c:v>
                      </c:pt>
                      <c:pt idx="327">
                        <c:v>13937</c:v>
                      </c:pt>
                      <c:pt idx="328">
                        <c:v>13442</c:v>
                      </c:pt>
                      <c:pt idx="329">
                        <c:v>13379</c:v>
                      </c:pt>
                      <c:pt idx="330">
                        <c:v>11315</c:v>
                      </c:pt>
                      <c:pt idx="331">
                        <c:v>14223</c:v>
                      </c:pt>
                      <c:pt idx="332">
                        <c:v>15518</c:v>
                      </c:pt>
                      <c:pt idx="333">
                        <c:v>13718</c:v>
                      </c:pt>
                      <c:pt idx="334">
                        <c:v>14198</c:v>
                      </c:pt>
                      <c:pt idx="335">
                        <c:v>13840</c:v>
                      </c:pt>
                      <c:pt idx="336">
                        <c:v>9777</c:v>
                      </c:pt>
                      <c:pt idx="337">
                        <c:v>10803</c:v>
                      </c:pt>
                      <c:pt idx="338">
                        <c:v>13076</c:v>
                      </c:pt>
                      <c:pt idx="339">
                        <c:v>14865</c:v>
                      </c:pt>
                      <c:pt idx="340">
                        <c:v>13474</c:v>
                      </c:pt>
                      <c:pt idx="341">
                        <c:v>17354</c:v>
                      </c:pt>
                      <c:pt idx="342">
                        <c:v>14862</c:v>
                      </c:pt>
                      <c:pt idx="343">
                        <c:v>14851</c:v>
                      </c:pt>
                      <c:pt idx="344">
                        <c:v>11636</c:v>
                      </c:pt>
                      <c:pt idx="345">
                        <c:v>14350</c:v>
                      </c:pt>
                      <c:pt idx="346">
                        <c:v>15155</c:v>
                      </c:pt>
                      <c:pt idx="347">
                        <c:v>10770</c:v>
                      </c:pt>
                      <c:pt idx="348">
                        <c:v>11874</c:v>
                      </c:pt>
                      <c:pt idx="349">
                        <c:v>11689</c:v>
                      </c:pt>
                      <c:pt idx="350">
                        <c:v>16297</c:v>
                      </c:pt>
                      <c:pt idx="351">
                        <c:v>14249</c:v>
                      </c:pt>
                      <c:pt idx="352">
                        <c:v>16732</c:v>
                      </c:pt>
                      <c:pt idx="353">
                        <c:v>17012</c:v>
                      </c:pt>
                      <c:pt idx="354">
                        <c:v>15553</c:v>
                      </c:pt>
                      <c:pt idx="355">
                        <c:v>15166</c:v>
                      </c:pt>
                      <c:pt idx="356">
                        <c:v>14914</c:v>
                      </c:pt>
                      <c:pt idx="357">
                        <c:v>15280</c:v>
                      </c:pt>
                      <c:pt idx="358">
                        <c:v>12598</c:v>
                      </c:pt>
                      <c:pt idx="359">
                        <c:v>15044</c:v>
                      </c:pt>
                      <c:pt idx="360">
                        <c:v>16611</c:v>
                      </c:pt>
                      <c:pt idx="361">
                        <c:v>14790</c:v>
                      </c:pt>
                      <c:pt idx="362">
                        <c:v>14614</c:v>
                      </c:pt>
                      <c:pt idx="363">
                        <c:v>13945</c:v>
                      </c:pt>
                      <c:pt idx="364">
                        <c:v>14156</c:v>
                      </c:pt>
                      <c:pt idx="365">
                        <c:v>11893</c:v>
                      </c:pt>
                      <c:pt idx="366">
                        <c:v>15076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39C-4A7D-BC28-654AAFE6E40B}"/>
                  </c:ext>
                </c:extLst>
              </c15:ser>
            </c15:filteredScatterSeries>
          </c:ext>
        </c:extLst>
      </c:scatterChart>
      <c:valAx>
        <c:axId val="73645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6453768"/>
        <c:crosses val="autoZero"/>
        <c:crossBetween val="midCat"/>
      </c:valAx>
      <c:valAx>
        <c:axId val="73645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64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Korelacja: Obciążenie a Skuteczność</a:t>
            </a:r>
            <a:endParaRPr lang="pl-PL"/>
          </a:p>
        </c:rich>
      </c:tx>
      <c:layout>
        <c:manualLayout>
          <c:xMode val="edge"/>
          <c:yMode val="edge"/>
          <c:x val="0.23704347880588408"/>
          <c:y val="3.37615364575223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DanePolicja!$H$2:$H$368</c:f>
              <c:numCache>
                <c:formatCode>General</c:formatCode>
                <c:ptCount val="367"/>
                <c:pt idx="0">
                  <c:v>16235</c:v>
                </c:pt>
                <c:pt idx="1">
                  <c:v>14338</c:v>
                </c:pt>
                <c:pt idx="2">
                  <c:v>16697</c:v>
                </c:pt>
                <c:pt idx="3">
                  <c:v>17506</c:v>
                </c:pt>
                <c:pt idx="4">
                  <c:v>15830</c:v>
                </c:pt>
                <c:pt idx="5">
                  <c:v>15716</c:v>
                </c:pt>
                <c:pt idx="6">
                  <c:v>15395</c:v>
                </c:pt>
                <c:pt idx="7">
                  <c:v>15421</c:v>
                </c:pt>
                <c:pt idx="8">
                  <c:v>13749</c:v>
                </c:pt>
                <c:pt idx="9">
                  <c:v>15768</c:v>
                </c:pt>
                <c:pt idx="10">
                  <c:v>16589</c:v>
                </c:pt>
                <c:pt idx="11">
                  <c:v>16209</c:v>
                </c:pt>
                <c:pt idx="12">
                  <c:v>15528</c:v>
                </c:pt>
                <c:pt idx="13">
                  <c:v>15372</c:v>
                </c:pt>
                <c:pt idx="14">
                  <c:v>15079</c:v>
                </c:pt>
                <c:pt idx="15">
                  <c:v>14087</c:v>
                </c:pt>
                <c:pt idx="16">
                  <c:v>16363</c:v>
                </c:pt>
                <c:pt idx="17">
                  <c:v>16956</c:v>
                </c:pt>
                <c:pt idx="18">
                  <c:v>15262</c:v>
                </c:pt>
                <c:pt idx="19">
                  <c:v>15360</c:v>
                </c:pt>
                <c:pt idx="20">
                  <c:v>15643</c:v>
                </c:pt>
                <c:pt idx="21">
                  <c:v>15917</c:v>
                </c:pt>
                <c:pt idx="22">
                  <c:v>13125</c:v>
                </c:pt>
                <c:pt idx="23">
                  <c:v>16140</c:v>
                </c:pt>
                <c:pt idx="24">
                  <c:v>16673</c:v>
                </c:pt>
                <c:pt idx="25">
                  <c:v>15466</c:v>
                </c:pt>
                <c:pt idx="26">
                  <c:v>15699</c:v>
                </c:pt>
                <c:pt idx="27">
                  <c:v>12934</c:v>
                </c:pt>
                <c:pt idx="28">
                  <c:v>16203</c:v>
                </c:pt>
                <c:pt idx="29">
                  <c:v>13521</c:v>
                </c:pt>
                <c:pt idx="30">
                  <c:v>16895</c:v>
                </c:pt>
                <c:pt idx="31">
                  <c:v>17959</c:v>
                </c:pt>
                <c:pt idx="32">
                  <c:v>16015</c:v>
                </c:pt>
                <c:pt idx="33">
                  <c:v>16018</c:v>
                </c:pt>
                <c:pt idx="34">
                  <c:v>16269</c:v>
                </c:pt>
                <c:pt idx="35">
                  <c:v>15374</c:v>
                </c:pt>
                <c:pt idx="36">
                  <c:v>13601</c:v>
                </c:pt>
                <c:pt idx="37">
                  <c:v>15985</c:v>
                </c:pt>
                <c:pt idx="38">
                  <c:v>21130</c:v>
                </c:pt>
                <c:pt idx="39">
                  <c:v>17070</c:v>
                </c:pt>
                <c:pt idx="40">
                  <c:v>16496</c:v>
                </c:pt>
                <c:pt idx="41">
                  <c:v>15715</c:v>
                </c:pt>
                <c:pt idx="42">
                  <c:v>15858</c:v>
                </c:pt>
                <c:pt idx="43">
                  <c:v>13779</c:v>
                </c:pt>
                <c:pt idx="44">
                  <c:v>16565</c:v>
                </c:pt>
                <c:pt idx="45">
                  <c:v>16968</c:v>
                </c:pt>
                <c:pt idx="46">
                  <c:v>16718</c:v>
                </c:pt>
                <c:pt idx="47">
                  <c:v>16172</c:v>
                </c:pt>
                <c:pt idx="48">
                  <c:v>15560</c:v>
                </c:pt>
                <c:pt idx="49">
                  <c:v>16005</c:v>
                </c:pt>
                <c:pt idx="50">
                  <c:v>13668</c:v>
                </c:pt>
                <c:pt idx="51">
                  <c:v>15605</c:v>
                </c:pt>
                <c:pt idx="52">
                  <c:v>17285</c:v>
                </c:pt>
                <c:pt idx="53">
                  <c:v>15786</c:v>
                </c:pt>
                <c:pt idx="54">
                  <c:v>16349</c:v>
                </c:pt>
                <c:pt idx="55">
                  <c:v>14779</c:v>
                </c:pt>
                <c:pt idx="56">
                  <c:v>15808</c:v>
                </c:pt>
                <c:pt idx="57">
                  <c:v>13796</c:v>
                </c:pt>
                <c:pt idx="58">
                  <c:v>16534</c:v>
                </c:pt>
                <c:pt idx="59">
                  <c:v>17553</c:v>
                </c:pt>
                <c:pt idx="60">
                  <c:v>16148</c:v>
                </c:pt>
                <c:pt idx="61">
                  <c:v>15705</c:v>
                </c:pt>
                <c:pt idx="62">
                  <c:v>15217</c:v>
                </c:pt>
                <c:pt idx="63">
                  <c:v>15005</c:v>
                </c:pt>
                <c:pt idx="64">
                  <c:v>12802</c:v>
                </c:pt>
                <c:pt idx="65">
                  <c:v>15449</c:v>
                </c:pt>
                <c:pt idx="66">
                  <c:v>16745</c:v>
                </c:pt>
                <c:pt idx="67">
                  <c:v>15468</c:v>
                </c:pt>
                <c:pt idx="68">
                  <c:v>15077</c:v>
                </c:pt>
                <c:pt idx="69">
                  <c:v>13676</c:v>
                </c:pt>
                <c:pt idx="70">
                  <c:v>14702</c:v>
                </c:pt>
                <c:pt idx="71">
                  <c:v>13084</c:v>
                </c:pt>
                <c:pt idx="72">
                  <c:v>16373</c:v>
                </c:pt>
                <c:pt idx="73">
                  <c:v>16168</c:v>
                </c:pt>
                <c:pt idx="74">
                  <c:v>14922</c:v>
                </c:pt>
                <c:pt idx="75">
                  <c:v>14975</c:v>
                </c:pt>
                <c:pt idx="76">
                  <c:v>14995</c:v>
                </c:pt>
                <c:pt idx="77">
                  <c:v>16069</c:v>
                </c:pt>
                <c:pt idx="78">
                  <c:v>16269</c:v>
                </c:pt>
                <c:pt idx="79">
                  <c:v>16676</c:v>
                </c:pt>
                <c:pt idx="80">
                  <c:v>17423</c:v>
                </c:pt>
                <c:pt idx="81">
                  <c:v>15813</c:v>
                </c:pt>
                <c:pt idx="82">
                  <c:v>14940</c:v>
                </c:pt>
                <c:pt idx="83">
                  <c:v>15031</c:v>
                </c:pt>
                <c:pt idx="84">
                  <c:v>15522</c:v>
                </c:pt>
                <c:pt idx="85">
                  <c:v>13757</c:v>
                </c:pt>
                <c:pt idx="86">
                  <c:v>17461</c:v>
                </c:pt>
                <c:pt idx="87">
                  <c:v>18277</c:v>
                </c:pt>
                <c:pt idx="88">
                  <c:v>16052</c:v>
                </c:pt>
                <c:pt idx="89">
                  <c:v>16648</c:v>
                </c:pt>
                <c:pt idx="90">
                  <c:v>15912</c:v>
                </c:pt>
                <c:pt idx="91">
                  <c:v>15920</c:v>
                </c:pt>
                <c:pt idx="92">
                  <c:v>14848</c:v>
                </c:pt>
                <c:pt idx="93">
                  <c:v>17483</c:v>
                </c:pt>
                <c:pt idx="94">
                  <c:v>18669</c:v>
                </c:pt>
                <c:pt idx="95">
                  <c:v>16742</c:v>
                </c:pt>
                <c:pt idx="96">
                  <c:v>16321</c:v>
                </c:pt>
                <c:pt idx="97">
                  <c:v>16710</c:v>
                </c:pt>
                <c:pt idx="98">
                  <c:v>16679</c:v>
                </c:pt>
                <c:pt idx="99">
                  <c:v>16762</c:v>
                </c:pt>
                <c:pt idx="100">
                  <c:v>18664</c:v>
                </c:pt>
                <c:pt idx="101">
                  <c:v>18006</c:v>
                </c:pt>
                <c:pt idx="102">
                  <c:v>16583</c:v>
                </c:pt>
                <c:pt idx="103">
                  <c:v>15281</c:v>
                </c:pt>
                <c:pt idx="104">
                  <c:v>15460</c:v>
                </c:pt>
                <c:pt idx="105">
                  <c:v>14729</c:v>
                </c:pt>
                <c:pt idx="106">
                  <c:v>13014</c:v>
                </c:pt>
                <c:pt idx="107">
                  <c:v>15419</c:v>
                </c:pt>
                <c:pt idx="108">
                  <c:v>16515</c:v>
                </c:pt>
                <c:pt idx="109">
                  <c:v>16439</c:v>
                </c:pt>
                <c:pt idx="110">
                  <c:v>16418</c:v>
                </c:pt>
                <c:pt idx="111">
                  <c:v>16235</c:v>
                </c:pt>
                <c:pt idx="112">
                  <c:v>16482</c:v>
                </c:pt>
                <c:pt idx="113">
                  <c:v>16179</c:v>
                </c:pt>
                <c:pt idx="114">
                  <c:v>19030</c:v>
                </c:pt>
                <c:pt idx="115">
                  <c:v>18001</c:v>
                </c:pt>
                <c:pt idx="116">
                  <c:v>19330</c:v>
                </c:pt>
                <c:pt idx="117">
                  <c:v>17151</c:v>
                </c:pt>
                <c:pt idx="118">
                  <c:v>16906</c:v>
                </c:pt>
                <c:pt idx="119">
                  <c:v>16667</c:v>
                </c:pt>
                <c:pt idx="120">
                  <c:v>15964</c:v>
                </c:pt>
                <c:pt idx="121">
                  <c:v>18858</c:v>
                </c:pt>
                <c:pt idx="122">
                  <c:v>17525</c:v>
                </c:pt>
                <c:pt idx="123">
                  <c:v>16071</c:v>
                </c:pt>
                <c:pt idx="124">
                  <c:v>15254</c:v>
                </c:pt>
                <c:pt idx="125">
                  <c:v>15374</c:v>
                </c:pt>
                <c:pt idx="126">
                  <c:v>15597</c:v>
                </c:pt>
                <c:pt idx="127">
                  <c:v>15008</c:v>
                </c:pt>
                <c:pt idx="128">
                  <c:v>17935</c:v>
                </c:pt>
                <c:pt idx="129">
                  <c:v>16677</c:v>
                </c:pt>
                <c:pt idx="130">
                  <c:v>16414</c:v>
                </c:pt>
                <c:pt idx="131">
                  <c:v>16561</c:v>
                </c:pt>
                <c:pt idx="132">
                  <c:v>16385</c:v>
                </c:pt>
                <c:pt idx="133">
                  <c:v>15698</c:v>
                </c:pt>
                <c:pt idx="134">
                  <c:v>16037</c:v>
                </c:pt>
                <c:pt idx="135">
                  <c:v>18388</c:v>
                </c:pt>
                <c:pt idx="136">
                  <c:v>18421</c:v>
                </c:pt>
                <c:pt idx="137">
                  <c:v>17014</c:v>
                </c:pt>
                <c:pt idx="138">
                  <c:v>16544</c:v>
                </c:pt>
                <c:pt idx="139">
                  <c:v>16659</c:v>
                </c:pt>
                <c:pt idx="140">
                  <c:v>17325</c:v>
                </c:pt>
                <c:pt idx="141">
                  <c:v>16633</c:v>
                </c:pt>
                <c:pt idx="142">
                  <c:v>18884</c:v>
                </c:pt>
                <c:pt idx="143">
                  <c:v>17659</c:v>
                </c:pt>
                <c:pt idx="144">
                  <c:v>16039</c:v>
                </c:pt>
                <c:pt idx="145">
                  <c:v>16121</c:v>
                </c:pt>
                <c:pt idx="146">
                  <c:v>16693</c:v>
                </c:pt>
                <c:pt idx="147">
                  <c:v>16961</c:v>
                </c:pt>
                <c:pt idx="148">
                  <c:v>15231</c:v>
                </c:pt>
                <c:pt idx="149">
                  <c:v>17171</c:v>
                </c:pt>
                <c:pt idx="150">
                  <c:v>17020</c:v>
                </c:pt>
                <c:pt idx="151">
                  <c:v>15884</c:v>
                </c:pt>
                <c:pt idx="152">
                  <c:v>15161</c:v>
                </c:pt>
                <c:pt idx="153">
                  <c:v>15679</c:v>
                </c:pt>
                <c:pt idx="154">
                  <c:v>16819</c:v>
                </c:pt>
                <c:pt idx="155">
                  <c:v>17000</c:v>
                </c:pt>
                <c:pt idx="156">
                  <c:v>18356</c:v>
                </c:pt>
                <c:pt idx="157">
                  <c:v>17782</c:v>
                </c:pt>
                <c:pt idx="158">
                  <c:v>17446</c:v>
                </c:pt>
                <c:pt idx="159">
                  <c:v>17530</c:v>
                </c:pt>
                <c:pt idx="160">
                  <c:v>17113</c:v>
                </c:pt>
                <c:pt idx="161">
                  <c:v>16932</c:v>
                </c:pt>
                <c:pt idx="162">
                  <c:v>17157</c:v>
                </c:pt>
                <c:pt idx="163">
                  <c:v>19015</c:v>
                </c:pt>
                <c:pt idx="164">
                  <c:v>18575</c:v>
                </c:pt>
                <c:pt idx="165">
                  <c:v>17400</c:v>
                </c:pt>
                <c:pt idx="166">
                  <c:v>16351</c:v>
                </c:pt>
                <c:pt idx="167">
                  <c:v>16002</c:v>
                </c:pt>
                <c:pt idx="168">
                  <c:v>17094</c:v>
                </c:pt>
                <c:pt idx="169">
                  <c:v>15767</c:v>
                </c:pt>
                <c:pt idx="170">
                  <c:v>17237</c:v>
                </c:pt>
                <c:pt idx="171">
                  <c:v>17430</c:v>
                </c:pt>
                <c:pt idx="172">
                  <c:v>15023</c:v>
                </c:pt>
                <c:pt idx="173">
                  <c:v>17983</c:v>
                </c:pt>
                <c:pt idx="174">
                  <c:v>16560</c:v>
                </c:pt>
                <c:pt idx="175">
                  <c:v>15999</c:v>
                </c:pt>
                <c:pt idx="176">
                  <c:v>15997</c:v>
                </c:pt>
                <c:pt idx="177">
                  <c:v>17739</c:v>
                </c:pt>
                <c:pt idx="178">
                  <c:v>17711</c:v>
                </c:pt>
                <c:pt idx="179">
                  <c:v>16286</c:v>
                </c:pt>
                <c:pt idx="180">
                  <c:v>14847</c:v>
                </c:pt>
                <c:pt idx="181">
                  <c:v>15284</c:v>
                </c:pt>
                <c:pt idx="182">
                  <c:v>14852</c:v>
                </c:pt>
                <c:pt idx="183">
                  <c:v>13512</c:v>
                </c:pt>
                <c:pt idx="184">
                  <c:v>17108</c:v>
                </c:pt>
                <c:pt idx="185">
                  <c:v>18579</c:v>
                </c:pt>
                <c:pt idx="186">
                  <c:v>17048</c:v>
                </c:pt>
                <c:pt idx="187">
                  <c:v>17127</c:v>
                </c:pt>
                <c:pt idx="188">
                  <c:v>16683</c:v>
                </c:pt>
                <c:pt idx="189">
                  <c:v>16668</c:v>
                </c:pt>
                <c:pt idx="190">
                  <c:v>18083</c:v>
                </c:pt>
                <c:pt idx="191">
                  <c:v>18363</c:v>
                </c:pt>
                <c:pt idx="192">
                  <c:v>17435</c:v>
                </c:pt>
                <c:pt idx="193">
                  <c:v>15531</c:v>
                </c:pt>
                <c:pt idx="194">
                  <c:v>15774</c:v>
                </c:pt>
                <c:pt idx="195">
                  <c:v>16361</c:v>
                </c:pt>
                <c:pt idx="196">
                  <c:v>15704</c:v>
                </c:pt>
                <c:pt idx="197">
                  <c:v>14363</c:v>
                </c:pt>
                <c:pt idx="198">
                  <c:v>16838</c:v>
                </c:pt>
                <c:pt idx="199">
                  <c:v>16999</c:v>
                </c:pt>
                <c:pt idx="200">
                  <c:v>16139</c:v>
                </c:pt>
                <c:pt idx="201">
                  <c:v>16407</c:v>
                </c:pt>
                <c:pt idx="202">
                  <c:v>16262</c:v>
                </c:pt>
                <c:pt idx="203">
                  <c:v>14882</c:v>
                </c:pt>
                <c:pt idx="204">
                  <c:v>14256</c:v>
                </c:pt>
                <c:pt idx="205">
                  <c:v>15515</c:v>
                </c:pt>
                <c:pt idx="206">
                  <c:v>15799</c:v>
                </c:pt>
                <c:pt idx="207">
                  <c:v>15400</c:v>
                </c:pt>
                <c:pt idx="208">
                  <c:v>15443</c:v>
                </c:pt>
                <c:pt idx="209">
                  <c:v>15284</c:v>
                </c:pt>
                <c:pt idx="210">
                  <c:v>15899</c:v>
                </c:pt>
                <c:pt idx="211">
                  <c:v>13436</c:v>
                </c:pt>
                <c:pt idx="212">
                  <c:v>15984</c:v>
                </c:pt>
                <c:pt idx="213">
                  <c:v>16596</c:v>
                </c:pt>
                <c:pt idx="214">
                  <c:v>15359</c:v>
                </c:pt>
                <c:pt idx="215">
                  <c:v>14965</c:v>
                </c:pt>
                <c:pt idx="216">
                  <c:v>14804</c:v>
                </c:pt>
                <c:pt idx="217">
                  <c:v>14858</c:v>
                </c:pt>
                <c:pt idx="218">
                  <c:v>12876</c:v>
                </c:pt>
                <c:pt idx="219">
                  <c:v>15383</c:v>
                </c:pt>
                <c:pt idx="220">
                  <c:v>17498</c:v>
                </c:pt>
                <c:pt idx="221">
                  <c:v>15911</c:v>
                </c:pt>
                <c:pt idx="222">
                  <c:v>17970</c:v>
                </c:pt>
                <c:pt idx="223">
                  <c:v>15104</c:v>
                </c:pt>
                <c:pt idx="224">
                  <c:v>15846</c:v>
                </c:pt>
                <c:pt idx="225">
                  <c:v>13863</c:v>
                </c:pt>
                <c:pt idx="226">
                  <c:v>16036</c:v>
                </c:pt>
                <c:pt idx="227">
                  <c:v>16661</c:v>
                </c:pt>
                <c:pt idx="228">
                  <c:v>16159</c:v>
                </c:pt>
                <c:pt idx="229">
                  <c:v>16424</c:v>
                </c:pt>
                <c:pt idx="230">
                  <c:v>17036</c:v>
                </c:pt>
                <c:pt idx="231">
                  <c:v>14820</c:v>
                </c:pt>
                <c:pt idx="232">
                  <c:v>14677</c:v>
                </c:pt>
                <c:pt idx="233">
                  <c:v>17338</c:v>
                </c:pt>
                <c:pt idx="234">
                  <c:v>20180</c:v>
                </c:pt>
                <c:pt idx="235">
                  <c:v>19072</c:v>
                </c:pt>
                <c:pt idx="236">
                  <c:v>18187</c:v>
                </c:pt>
                <c:pt idx="237">
                  <c:v>16464</c:v>
                </c:pt>
                <c:pt idx="238">
                  <c:v>17465</c:v>
                </c:pt>
                <c:pt idx="239">
                  <c:v>16025</c:v>
                </c:pt>
                <c:pt idx="240">
                  <c:v>17268</c:v>
                </c:pt>
                <c:pt idx="241">
                  <c:v>16358</c:v>
                </c:pt>
                <c:pt idx="242">
                  <c:v>15421</c:v>
                </c:pt>
                <c:pt idx="243">
                  <c:v>15966</c:v>
                </c:pt>
                <c:pt idx="244">
                  <c:v>15032</c:v>
                </c:pt>
                <c:pt idx="245">
                  <c:v>14786</c:v>
                </c:pt>
                <c:pt idx="246">
                  <c:v>11595</c:v>
                </c:pt>
                <c:pt idx="247">
                  <c:v>15960</c:v>
                </c:pt>
                <c:pt idx="248">
                  <c:v>18267</c:v>
                </c:pt>
                <c:pt idx="249">
                  <c:v>16656</c:v>
                </c:pt>
                <c:pt idx="250">
                  <c:v>15894</c:v>
                </c:pt>
                <c:pt idx="251">
                  <c:v>15362</c:v>
                </c:pt>
                <c:pt idx="252">
                  <c:v>15040</c:v>
                </c:pt>
                <c:pt idx="253">
                  <c:v>12916</c:v>
                </c:pt>
                <c:pt idx="254">
                  <c:v>17056</c:v>
                </c:pt>
                <c:pt idx="255">
                  <c:v>17548</c:v>
                </c:pt>
                <c:pt idx="256">
                  <c:v>15587</c:v>
                </c:pt>
                <c:pt idx="257">
                  <c:v>15586</c:v>
                </c:pt>
                <c:pt idx="258">
                  <c:v>15543</c:v>
                </c:pt>
                <c:pt idx="259">
                  <c:v>15096</c:v>
                </c:pt>
                <c:pt idx="260">
                  <c:v>12897</c:v>
                </c:pt>
                <c:pt idx="261">
                  <c:v>16721</c:v>
                </c:pt>
                <c:pt idx="262">
                  <c:v>17860</c:v>
                </c:pt>
                <c:pt idx="263">
                  <c:v>16144</c:v>
                </c:pt>
                <c:pt idx="264">
                  <c:v>15159</c:v>
                </c:pt>
                <c:pt idx="265">
                  <c:v>15299</c:v>
                </c:pt>
                <c:pt idx="266">
                  <c:v>14571</c:v>
                </c:pt>
                <c:pt idx="267">
                  <c:v>12910</c:v>
                </c:pt>
                <c:pt idx="268">
                  <c:v>15396</c:v>
                </c:pt>
                <c:pt idx="269">
                  <c:v>15845</c:v>
                </c:pt>
                <c:pt idx="270">
                  <c:v>14922</c:v>
                </c:pt>
                <c:pt idx="271">
                  <c:v>15695</c:v>
                </c:pt>
                <c:pt idx="272">
                  <c:v>15695</c:v>
                </c:pt>
                <c:pt idx="273">
                  <c:v>16333</c:v>
                </c:pt>
                <c:pt idx="274">
                  <c:v>14273</c:v>
                </c:pt>
                <c:pt idx="275">
                  <c:v>17757</c:v>
                </c:pt>
                <c:pt idx="276">
                  <c:v>17439</c:v>
                </c:pt>
                <c:pt idx="277">
                  <c:v>15950</c:v>
                </c:pt>
                <c:pt idx="278">
                  <c:v>15375</c:v>
                </c:pt>
                <c:pt idx="279">
                  <c:v>15128</c:v>
                </c:pt>
                <c:pt idx="280">
                  <c:v>14670</c:v>
                </c:pt>
                <c:pt idx="281">
                  <c:v>11969</c:v>
                </c:pt>
                <c:pt idx="282">
                  <c:v>14790</c:v>
                </c:pt>
                <c:pt idx="283">
                  <c:v>16228</c:v>
                </c:pt>
                <c:pt idx="284">
                  <c:v>15003</c:v>
                </c:pt>
                <c:pt idx="285">
                  <c:v>15066</c:v>
                </c:pt>
                <c:pt idx="286">
                  <c:v>14837</c:v>
                </c:pt>
                <c:pt idx="287">
                  <c:v>14889</c:v>
                </c:pt>
                <c:pt idx="288">
                  <c:v>12662</c:v>
                </c:pt>
                <c:pt idx="289">
                  <c:v>15305</c:v>
                </c:pt>
                <c:pt idx="290">
                  <c:v>15582</c:v>
                </c:pt>
                <c:pt idx="291">
                  <c:v>14530</c:v>
                </c:pt>
                <c:pt idx="292">
                  <c:v>14718</c:v>
                </c:pt>
                <c:pt idx="293">
                  <c:v>14025</c:v>
                </c:pt>
                <c:pt idx="294">
                  <c:v>14101</c:v>
                </c:pt>
                <c:pt idx="295">
                  <c:v>11771</c:v>
                </c:pt>
                <c:pt idx="296">
                  <c:v>14558</c:v>
                </c:pt>
                <c:pt idx="297">
                  <c:v>15996</c:v>
                </c:pt>
                <c:pt idx="298">
                  <c:v>15104</c:v>
                </c:pt>
                <c:pt idx="299">
                  <c:v>13892</c:v>
                </c:pt>
                <c:pt idx="300">
                  <c:v>14031</c:v>
                </c:pt>
                <c:pt idx="301">
                  <c:v>14078</c:v>
                </c:pt>
                <c:pt idx="302">
                  <c:v>11640</c:v>
                </c:pt>
                <c:pt idx="303">
                  <c:v>14563</c:v>
                </c:pt>
                <c:pt idx="304">
                  <c:v>14692</c:v>
                </c:pt>
                <c:pt idx="305">
                  <c:v>13764</c:v>
                </c:pt>
                <c:pt idx="306">
                  <c:v>14347</c:v>
                </c:pt>
                <c:pt idx="307">
                  <c:v>14210</c:v>
                </c:pt>
                <c:pt idx="308">
                  <c:v>13707</c:v>
                </c:pt>
                <c:pt idx="309">
                  <c:v>11602</c:v>
                </c:pt>
                <c:pt idx="310">
                  <c:v>14540</c:v>
                </c:pt>
                <c:pt idx="311">
                  <c:v>15461</c:v>
                </c:pt>
                <c:pt idx="312">
                  <c:v>14886</c:v>
                </c:pt>
                <c:pt idx="313">
                  <c:v>14230</c:v>
                </c:pt>
                <c:pt idx="314">
                  <c:v>14556</c:v>
                </c:pt>
                <c:pt idx="315">
                  <c:v>14326</c:v>
                </c:pt>
                <c:pt idx="316">
                  <c:v>13406</c:v>
                </c:pt>
                <c:pt idx="317">
                  <c:v>14696</c:v>
                </c:pt>
                <c:pt idx="318">
                  <c:v>15731</c:v>
                </c:pt>
                <c:pt idx="319">
                  <c:v>13998</c:v>
                </c:pt>
                <c:pt idx="320">
                  <c:v>14243</c:v>
                </c:pt>
                <c:pt idx="321">
                  <c:v>13099</c:v>
                </c:pt>
                <c:pt idx="322">
                  <c:v>14378</c:v>
                </c:pt>
                <c:pt idx="323">
                  <c:v>11794</c:v>
                </c:pt>
                <c:pt idx="324">
                  <c:v>14755</c:v>
                </c:pt>
                <c:pt idx="325">
                  <c:v>15641</c:v>
                </c:pt>
                <c:pt idx="326">
                  <c:v>14558</c:v>
                </c:pt>
                <c:pt idx="327">
                  <c:v>13937</c:v>
                </c:pt>
                <c:pt idx="328">
                  <c:v>13442</c:v>
                </c:pt>
                <c:pt idx="329">
                  <c:v>13379</c:v>
                </c:pt>
                <c:pt idx="330">
                  <c:v>11315</c:v>
                </c:pt>
                <c:pt idx="331">
                  <c:v>14223</c:v>
                </c:pt>
                <c:pt idx="332">
                  <c:v>15518</c:v>
                </c:pt>
                <c:pt idx="333">
                  <c:v>13718</c:v>
                </c:pt>
                <c:pt idx="334">
                  <c:v>14198</c:v>
                </c:pt>
                <c:pt idx="335">
                  <c:v>13840</c:v>
                </c:pt>
                <c:pt idx="336">
                  <c:v>9777</c:v>
                </c:pt>
                <c:pt idx="337">
                  <c:v>10803</c:v>
                </c:pt>
                <c:pt idx="338">
                  <c:v>13076</c:v>
                </c:pt>
                <c:pt idx="339">
                  <c:v>14865</c:v>
                </c:pt>
                <c:pt idx="340">
                  <c:v>13474</c:v>
                </c:pt>
                <c:pt idx="341">
                  <c:v>17354</c:v>
                </c:pt>
                <c:pt idx="342">
                  <c:v>14862</c:v>
                </c:pt>
                <c:pt idx="343">
                  <c:v>14851</c:v>
                </c:pt>
                <c:pt idx="344">
                  <c:v>11636</c:v>
                </c:pt>
                <c:pt idx="345">
                  <c:v>14350</c:v>
                </c:pt>
                <c:pt idx="346">
                  <c:v>15155</c:v>
                </c:pt>
                <c:pt idx="347">
                  <c:v>10770</c:v>
                </c:pt>
                <c:pt idx="348">
                  <c:v>11874</c:v>
                </c:pt>
                <c:pt idx="349">
                  <c:v>11689</c:v>
                </c:pt>
                <c:pt idx="350">
                  <c:v>16297</c:v>
                </c:pt>
                <c:pt idx="351">
                  <c:v>14249</c:v>
                </c:pt>
                <c:pt idx="352">
                  <c:v>16732</c:v>
                </c:pt>
                <c:pt idx="353">
                  <c:v>17012</c:v>
                </c:pt>
                <c:pt idx="354">
                  <c:v>15553</c:v>
                </c:pt>
                <c:pt idx="355">
                  <c:v>15166</c:v>
                </c:pt>
                <c:pt idx="356">
                  <c:v>14914</c:v>
                </c:pt>
                <c:pt idx="357">
                  <c:v>15280</c:v>
                </c:pt>
                <c:pt idx="358">
                  <c:v>12598</c:v>
                </c:pt>
                <c:pt idx="359">
                  <c:v>15044</c:v>
                </c:pt>
                <c:pt idx="360">
                  <c:v>16611</c:v>
                </c:pt>
                <c:pt idx="361">
                  <c:v>14790</c:v>
                </c:pt>
                <c:pt idx="362">
                  <c:v>14614</c:v>
                </c:pt>
                <c:pt idx="363">
                  <c:v>13945</c:v>
                </c:pt>
                <c:pt idx="364">
                  <c:v>14156</c:v>
                </c:pt>
                <c:pt idx="365">
                  <c:v>11893</c:v>
                </c:pt>
                <c:pt idx="366">
                  <c:v>15076</c:v>
                </c:pt>
              </c:numCache>
            </c:numRef>
          </c:xVal>
          <c:yVal>
            <c:numRef>
              <c:f>DanePolicja!$G$2:$G$368</c:f>
              <c:numCache>
                <c:formatCode>0</c:formatCode>
                <c:ptCount val="367"/>
                <c:pt idx="0">
                  <c:v>31.659993840468122</c:v>
                </c:pt>
                <c:pt idx="1">
                  <c:v>35.918538150369649</c:v>
                </c:pt>
                <c:pt idx="2">
                  <c:v>30.783973168832723</c:v>
                </c:pt>
                <c:pt idx="3">
                  <c:v>26.219581857648805</c:v>
                </c:pt>
                <c:pt idx="4">
                  <c:v>30.448515476942514</c:v>
                </c:pt>
                <c:pt idx="5">
                  <c:v>27.169763298549253</c:v>
                </c:pt>
                <c:pt idx="6">
                  <c:v>28.905488795063331</c:v>
                </c:pt>
                <c:pt idx="7">
                  <c:v>44.41994682575708</c:v>
                </c:pt>
                <c:pt idx="8">
                  <c:v>38.693723179867625</c:v>
                </c:pt>
                <c:pt idx="9">
                  <c:v>34.246575342465754</c:v>
                </c:pt>
                <c:pt idx="10">
                  <c:v>24.474049068659955</c:v>
                </c:pt>
                <c:pt idx="11">
                  <c:v>25.664754148929607</c:v>
                </c:pt>
                <c:pt idx="12">
                  <c:v>26.532715095311694</c:v>
                </c:pt>
                <c:pt idx="13">
                  <c:v>26.867030965391621</c:v>
                </c:pt>
                <c:pt idx="14">
                  <c:v>29.710192983619603</c:v>
                </c:pt>
                <c:pt idx="15">
                  <c:v>29.672747923617518</c:v>
                </c:pt>
                <c:pt idx="16">
                  <c:v>28.295544826743264</c:v>
                </c:pt>
                <c:pt idx="17">
                  <c:v>24.5930644019816</c:v>
                </c:pt>
                <c:pt idx="18">
                  <c:v>30.40230638186345</c:v>
                </c:pt>
                <c:pt idx="19">
                  <c:v>29.947916666666668</c:v>
                </c:pt>
                <c:pt idx="20">
                  <c:v>31.579620277440387</c:v>
                </c:pt>
                <c:pt idx="21">
                  <c:v>31.287302883709241</c:v>
                </c:pt>
                <c:pt idx="22">
                  <c:v>37.866666666666667</c:v>
                </c:pt>
                <c:pt idx="23">
                  <c:v>32.899628252788105</c:v>
                </c:pt>
                <c:pt idx="24">
                  <c:v>29.508786661068797</c:v>
                </c:pt>
                <c:pt idx="25">
                  <c:v>33.363507047717576</c:v>
                </c:pt>
                <c:pt idx="26">
                  <c:v>40.193642907191538</c:v>
                </c:pt>
                <c:pt idx="27">
                  <c:v>44.688418122777179</c:v>
                </c:pt>
                <c:pt idx="28">
                  <c:v>32.833425908782324</c:v>
                </c:pt>
                <c:pt idx="29">
                  <c:v>42.526440352044965</c:v>
                </c:pt>
                <c:pt idx="30">
                  <c:v>35.099141757916541</c:v>
                </c:pt>
                <c:pt idx="31">
                  <c:v>30.346901275126676</c:v>
                </c:pt>
                <c:pt idx="32">
                  <c:v>34.655010927255695</c:v>
                </c:pt>
                <c:pt idx="33">
                  <c:v>33.649644150330879</c:v>
                </c:pt>
                <c:pt idx="34">
                  <c:v>30.979162825004611</c:v>
                </c:pt>
                <c:pt idx="35">
                  <c:v>41.56367893846754</c:v>
                </c:pt>
                <c:pt idx="36">
                  <c:v>40.364679067715613</c:v>
                </c:pt>
                <c:pt idx="37">
                  <c:v>34.59493274945261</c:v>
                </c:pt>
                <c:pt idx="38">
                  <c:v>27.401798390913392</c:v>
                </c:pt>
                <c:pt idx="39">
                  <c:v>30.872876391329818</c:v>
                </c:pt>
                <c:pt idx="40">
                  <c:v>33.947623666343361</c:v>
                </c:pt>
                <c:pt idx="41">
                  <c:v>29.080496341075406</c:v>
                </c:pt>
                <c:pt idx="42">
                  <c:v>36.511539916761251</c:v>
                </c:pt>
                <c:pt idx="43">
                  <c:v>35.198490456491761</c:v>
                </c:pt>
                <c:pt idx="44">
                  <c:v>34.349532146091157</c:v>
                </c:pt>
                <c:pt idx="45">
                  <c:v>33.180103724658181</c:v>
                </c:pt>
                <c:pt idx="46">
                  <c:v>37.384854647685131</c:v>
                </c:pt>
                <c:pt idx="47">
                  <c:v>33.143705169428642</c:v>
                </c:pt>
                <c:pt idx="48">
                  <c:v>34.575835475578408</c:v>
                </c:pt>
                <c:pt idx="49">
                  <c:v>38.425492033739452</c:v>
                </c:pt>
                <c:pt idx="50">
                  <c:v>40.386303775241437</c:v>
                </c:pt>
                <c:pt idx="51">
                  <c:v>34.540211470682472</c:v>
                </c:pt>
                <c:pt idx="52">
                  <c:v>35.927104425802717</c:v>
                </c:pt>
                <c:pt idx="53">
                  <c:v>38.261750918535412</c:v>
                </c:pt>
                <c:pt idx="54">
                  <c:v>35.353844271820911</c:v>
                </c:pt>
                <c:pt idx="55">
                  <c:v>35.252723458962045</c:v>
                </c:pt>
                <c:pt idx="56">
                  <c:v>48.836032388663973</c:v>
                </c:pt>
                <c:pt idx="57">
                  <c:v>39.649173673528566</c:v>
                </c:pt>
                <c:pt idx="58">
                  <c:v>37.619450828595625</c:v>
                </c:pt>
                <c:pt idx="59">
                  <c:v>34.125220759984046</c:v>
                </c:pt>
                <c:pt idx="60">
                  <c:v>38.023284617290066</c:v>
                </c:pt>
                <c:pt idx="61">
                  <c:v>38.777459407831898</c:v>
                </c:pt>
                <c:pt idx="62">
                  <c:v>35.420910823421174</c:v>
                </c:pt>
                <c:pt idx="63">
                  <c:v>32.655781406197931</c:v>
                </c:pt>
                <c:pt idx="64">
                  <c:v>39.05639743790033</c:v>
                </c:pt>
                <c:pt idx="65">
                  <c:v>35.536280665415241</c:v>
                </c:pt>
                <c:pt idx="66">
                  <c:v>32.965064198268138</c:v>
                </c:pt>
                <c:pt idx="67">
                  <c:v>37.949314714248771</c:v>
                </c:pt>
                <c:pt idx="68">
                  <c:v>37.540624792730647</c:v>
                </c:pt>
                <c:pt idx="69">
                  <c:v>35.390465048259728</c:v>
                </c:pt>
                <c:pt idx="70">
                  <c:v>36.049517072507143</c:v>
                </c:pt>
                <c:pt idx="71">
                  <c:v>38.673188627331093</c:v>
                </c:pt>
                <c:pt idx="72">
                  <c:v>36.034935564649118</c:v>
                </c:pt>
                <c:pt idx="73">
                  <c:v>30.987135081642752</c:v>
                </c:pt>
                <c:pt idx="74">
                  <c:v>33.37354242058705</c:v>
                </c:pt>
                <c:pt idx="75">
                  <c:v>31.853088480801336</c:v>
                </c:pt>
                <c:pt idx="76">
                  <c:v>33.944648216072025</c:v>
                </c:pt>
                <c:pt idx="77">
                  <c:v>41.197336486402392</c:v>
                </c:pt>
                <c:pt idx="78">
                  <c:v>37.371688487307146</c:v>
                </c:pt>
                <c:pt idx="79">
                  <c:v>39.278004317582152</c:v>
                </c:pt>
                <c:pt idx="80">
                  <c:v>32.543190036159103</c:v>
                </c:pt>
                <c:pt idx="81">
                  <c:v>32.441661923733633</c:v>
                </c:pt>
                <c:pt idx="82">
                  <c:v>32.597054886211517</c:v>
                </c:pt>
                <c:pt idx="83">
                  <c:v>33.264586521189543</c:v>
                </c:pt>
                <c:pt idx="84">
                  <c:v>37.752866898595542</c:v>
                </c:pt>
                <c:pt idx="85">
                  <c:v>36.99934578759904</c:v>
                </c:pt>
                <c:pt idx="86">
                  <c:v>35.221350438119231</c:v>
                </c:pt>
                <c:pt idx="87">
                  <c:v>36.822235596651531</c:v>
                </c:pt>
                <c:pt idx="88">
                  <c:v>33.391477697483175</c:v>
                </c:pt>
                <c:pt idx="89">
                  <c:v>32.07592503604036</c:v>
                </c:pt>
                <c:pt idx="90">
                  <c:v>35.256410256410255</c:v>
                </c:pt>
                <c:pt idx="91">
                  <c:v>40.138190954773869</c:v>
                </c:pt>
                <c:pt idx="92">
                  <c:v>39.66864224137931</c:v>
                </c:pt>
                <c:pt idx="93">
                  <c:v>30.829949093405023</c:v>
                </c:pt>
                <c:pt idx="94">
                  <c:v>31.067545128287534</c:v>
                </c:pt>
                <c:pt idx="95">
                  <c:v>38.884243220642695</c:v>
                </c:pt>
                <c:pt idx="96">
                  <c:v>36.88499479198579</c:v>
                </c:pt>
                <c:pt idx="97">
                  <c:v>39.377618192698982</c:v>
                </c:pt>
                <c:pt idx="98">
                  <c:v>38.491516277954318</c:v>
                </c:pt>
                <c:pt idx="99">
                  <c:v>37.525354969574039</c:v>
                </c:pt>
                <c:pt idx="100">
                  <c:v>32.415345049292753</c:v>
                </c:pt>
                <c:pt idx="101">
                  <c:v>27.879595690325445</c:v>
                </c:pt>
                <c:pt idx="102">
                  <c:v>29.729240788759572</c:v>
                </c:pt>
                <c:pt idx="103">
                  <c:v>31.673319808913032</c:v>
                </c:pt>
                <c:pt idx="104">
                  <c:v>35.316946959896505</c:v>
                </c:pt>
                <c:pt idx="105">
                  <c:v>37.205512933668274</c:v>
                </c:pt>
                <c:pt idx="106">
                  <c:v>36.268633779007224</c:v>
                </c:pt>
                <c:pt idx="107">
                  <c:v>37.551073351060381</c:v>
                </c:pt>
                <c:pt idx="108">
                  <c:v>29.427792915531334</c:v>
                </c:pt>
                <c:pt idx="109">
                  <c:v>31.571263458847866</c:v>
                </c:pt>
                <c:pt idx="110">
                  <c:v>35.814350103544889</c:v>
                </c:pt>
                <c:pt idx="111">
                  <c:v>32.399137665537417</c:v>
                </c:pt>
                <c:pt idx="112">
                  <c:v>43.623346681228007</c:v>
                </c:pt>
                <c:pt idx="113">
                  <c:v>38.07404660362198</c:v>
                </c:pt>
                <c:pt idx="114">
                  <c:v>31.844456121912771</c:v>
                </c:pt>
                <c:pt idx="115">
                  <c:v>34.498083439808894</c:v>
                </c:pt>
                <c:pt idx="116">
                  <c:v>26.280393171236419</c:v>
                </c:pt>
                <c:pt idx="117">
                  <c:v>30.318931840708995</c:v>
                </c:pt>
                <c:pt idx="118">
                  <c:v>30.817461256358687</c:v>
                </c:pt>
                <c:pt idx="119">
                  <c:v>29.639407211855762</c:v>
                </c:pt>
                <c:pt idx="120">
                  <c:v>40.716612377850161</c:v>
                </c:pt>
                <c:pt idx="121">
                  <c:v>36.111994909322306</c:v>
                </c:pt>
                <c:pt idx="122">
                  <c:v>32.239657631954351</c:v>
                </c:pt>
                <c:pt idx="123">
                  <c:v>34.907597535934286</c:v>
                </c:pt>
                <c:pt idx="124">
                  <c:v>32.516061360954502</c:v>
                </c:pt>
                <c:pt idx="125">
                  <c:v>29.855600364251334</c:v>
                </c:pt>
                <c:pt idx="126">
                  <c:v>36.545489517214847</c:v>
                </c:pt>
                <c:pt idx="127">
                  <c:v>40.578358208955223</c:v>
                </c:pt>
                <c:pt idx="128">
                  <c:v>37.691664343462499</c:v>
                </c:pt>
                <c:pt idx="129">
                  <c:v>32.20003597769383</c:v>
                </c:pt>
                <c:pt idx="130">
                  <c:v>36.249543072986476</c:v>
                </c:pt>
                <c:pt idx="131">
                  <c:v>34.055914497916788</c:v>
                </c:pt>
                <c:pt idx="132">
                  <c:v>32.163564235581326</c:v>
                </c:pt>
                <c:pt idx="133">
                  <c:v>31.787488852083065</c:v>
                </c:pt>
                <c:pt idx="134">
                  <c:v>33.609777389786117</c:v>
                </c:pt>
                <c:pt idx="135">
                  <c:v>37.742005655862521</c:v>
                </c:pt>
                <c:pt idx="136">
                  <c:v>31.757233592095979</c:v>
                </c:pt>
                <c:pt idx="137">
                  <c:v>36.499353473609972</c:v>
                </c:pt>
                <c:pt idx="138">
                  <c:v>36.387814313346226</c:v>
                </c:pt>
                <c:pt idx="139">
                  <c:v>33.135242211417257</c:v>
                </c:pt>
                <c:pt idx="140">
                  <c:v>43.232323232323232</c:v>
                </c:pt>
                <c:pt idx="141">
                  <c:v>32.706066253832745</c:v>
                </c:pt>
                <c:pt idx="142">
                  <c:v>31.084515992374499</c:v>
                </c:pt>
                <c:pt idx="143">
                  <c:v>29.786511127470412</c:v>
                </c:pt>
                <c:pt idx="144">
                  <c:v>35.850115343849367</c:v>
                </c:pt>
                <c:pt idx="145">
                  <c:v>37.714781961416783</c:v>
                </c:pt>
                <c:pt idx="146">
                  <c:v>35.344156233151615</c:v>
                </c:pt>
                <c:pt idx="147">
                  <c:v>37.792582984493841</c:v>
                </c:pt>
                <c:pt idx="148">
                  <c:v>41.36300965136892</c:v>
                </c:pt>
                <c:pt idx="149">
                  <c:v>40.533457573816314</c:v>
                </c:pt>
                <c:pt idx="150">
                  <c:v>34.665099882491191</c:v>
                </c:pt>
                <c:pt idx="151">
                  <c:v>34.751951649458576</c:v>
                </c:pt>
                <c:pt idx="152">
                  <c:v>36.475166545742361</c:v>
                </c:pt>
                <c:pt idx="153">
                  <c:v>35.014988200778113</c:v>
                </c:pt>
                <c:pt idx="154">
                  <c:v>38.052202865806528</c:v>
                </c:pt>
                <c:pt idx="155">
                  <c:v>34.235294117647058</c:v>
                </c:pt>
                <c:pt idx="156">
                  <c:v>39.769012856831559</c:v>
                </c:pt>
                <c:pt idx="157">
                  <c:v>32.504780114722756</c:v>
                </c:pt>
                <c:pt idx="158">
                  <c:v>35.652871718445489</c:v>
                </c:pt>
                <c:pt idx="159">
                  <c:v>31.831146605818596</c:v>
                </c:pt>
                <c:pt idx="160">
                  <c:v>32.606790159527847</c:v>
                </c:pt>
                <c:pt idx="161">
                  <c:v>32.246633593196314</c:v>
                </c:pt>
                <c:pt idx="162">
                  <c:v>36.195139010316495</c:v>
                </c:pt>
                <c:pt idx="163">
                  <c:v>30.660005259006045</c:v>
                </c:pt>
                <c:pt idx="164">
                  <c:v>31.170928667563931</c:v>
                </c:pt>
                <c:pt idx="165">
                  <c:v>32.701149425287362</c:v>
                </c:pt>
                <c:pt idx="166">
                  <c:v>31.802336248547487</c:v>
                </c:pt>
                <c:pt idx="167">
                  <c:v>27.809023872015995</c:v>
                </c:pt>
                <c:pt idx="168">
                  <c:v>47.73604773604773</c:v>
                </c:pt>
                <c:pt idx="169">
                  <c:v>39.830024735206443</c:v>
                </c:pt>
                <c:pt idx="170">
                  <c:v>33.474502523641</c:v>
                </c:pt>
                <c:pt idx="171">
                  <c:v>37.119908204245554</c:v>
                </c:pt>
                <c:pt idx="172">
                  <c:v>38.074951740664318</c:v>
                </c:pt>
                <c:pt idx="173">
                  <c:v>33.476060724017124</c:v>
                </c:pt>
                <c:pt idx="174">
                  <c:v>31.09903381642512</c:v>
                </c:pt>
                <c:pt idx="175">
                  <c:v>38.189886867929246</c:v>
                </c:pt>
                <c:pt idx="176">
                  <c:v>33.443770707007559</c:v>
                </c:pt>
                <c:pt idx="177">
                  <c:v>33.429167371328717</c:v>
                </c:pt>
                <c:pt idx="178">
                  <c:v>28.005194511885268</c:v>
                </c:pt>
                <c:pt idx="179">
                  <c:v>32.420483851160505</c:v>
                </c:pt>
                <c:pt idx="180">
                  <c:v>34.215666464605647</c:v>
                </c:pt>
                <c:pt idx="181">
                  <c:v>32.255953938759482</c:v>
                </c:pt>
                <c:pt idx="182">
                  <c:v>33.194182601669809</c:v>
                </c:pt>
                <c:pt idx="183">
                  <c:v>38.558318531675546</c:v>
                </c:pt>
                <c:pt idx="184">
                  <c:v>33.960720130932899</c:v>
                </c:pt>
                <c:pt idx="185">
                  <c:v>31.540987136013776</c:v>
                </c:pt>
                <c:pt idx="186">
                  <c:v>32.965743782261853</c:v>
                </c:pt>
                <c:pt idx="187">
                  <c:v>32.346587259882057</c:v>
                </c:pt>
                <c:pt idx="188">
                  <c:v>31.82880776838698</c:v>
                </c:pt>
                <c:pt idx="189">
                  <c:v>33.477321814254864</c:v>
                </c:pt>
                <c:pt idx="190">
                  <c:v>35.005253553060889</c:v>
                </c:pt>
                <c:pt idx="191">
                  <c:v>32.020911615749064</c:v>
                </c:pt>
                <c:pt idx="192">
                  <c:v>28.505878979065098</c:v>
                </c:pt>
                <c:pt idx="193">
                  <c:v>34.447234563131801</c:v>
                </c:pt>
                <c:pt idx="194">
                  <c:v>33.726385190820338</c:v>
                </c:pt>
                <c:pt idx="195">
                  <c:v>33.677648065521666</c:v>
                </c:pt>
                <c:pt idx="196">
                  <c:v>36.105450840550176</c:v>
                </c:pt>
                <c:pt idx="197">
                  <c:v>38.153589083060645</c:v>
                </c:pt>
                <c:pt idx="198">
                  <c:v>32.070317139802832</c:v>
                </c:pt>
                <c:pt idx="199">
                  <c:v>30.413553738455203</c:v>
                </c:pt>
                <c:pt idx="200">
                  <c:v>35.5660201995167</c:v>
                </c:pt>
                <c:pt idx="201">
                  <c:v>35.167916133357714</c:v>
                </c:pt>
                <c:pt idx="202">
                  <c:v>32.160865822162101</c:v>
                </c:pt>
                <c:pt idx="203">
                  <c:v>33.060072570891009</c:v>
                </c:pt>
                <c:pt idx="204">
                  <c:v>40.404040404040408</c:v>
                </c:pt>
                <c:pt idx="205">
                  <c:v>35.70737995488237</c:v>
                </c:pt>
                <c:pt idx="206">
                  <c:v>33.736312424837017</c:v>
                </c:pt>
                <c:pt idx="207">
                  <c:v>31.818181818181817</c:v>
                </c:pt>
                <c:pt idx="208">
                  <c:v>35.809104448617497</c:v>
                </c:pt>
                <c:pt idx="209">
                  <c:v>33.891651400157031</c:v>
                </c:pt>
                <c:pt idx="210">
                  <c:v>39.813824768853387</c:v>
                </c:pt>
                <c:pt idx="211">
                  <c:v>39.297409943435547</c:v>
                </c:pt>
                <c:pt idx="212">
                  <c:v>33.408408408408413</c:v>
                </c:pt>
                <c:pt idx="213">
                  <c:v>34.104603518920221</c:v>
                </c:pt>
                <c:pt idx="214">
                  <c:v>31.707793476137766</c:v>
                </c:pt>
                <c:pt idx="215">
                  <c:v>33.277647844971597</c:v>
                </c:pt>
                <c:pt idx="216">
                  <c:v>33.436908943528778</c:v>
                </c:pt>
                <c:pt idx="217">
                  <c:v>42.536007538026652</c:v>
                </c:pt>
                <c:pt idx="218">
                  <c:v>41.239515377446409</c:v>
                </c:pt>
                <c:pt idx="219">
                  <c:v>39.589156861470457</c:v>
                </c:pt>
                <c:pt idx="220">
                  <c:v>39.375928677563152</c:v>
                </c:pt>
                <c:pt idx="221">
                  <c:v>34.44158129595877</c:v>
                </c:pt>
                <c:pt idx="222">
                  <c:v>29.54924874791319</c:v>
                </c:pt>
                <c:pt idx="223">
                  <c:v>33.765889830508478</c:v>
                </c:pt>
                <c:pt idx="224">
                  <c:v>36.16054524801212</c:v>
                </c:pt>
                <c:pt idx="225">
                  <c:v>37.437784029430865</c:v>
                </c:pt>
                <c:pt idx="226">
                  <c:v>32.676477924669499</c:v>
                </c:pt>
                <c:pt idx="227">
                  <c:v>31.030550387131626</c:v>
                </c:pt>
                <c:pt idx="228">
                  <c:v>34.655609876848814</c:v>
                </c:pt>
                <c:pt idx="229">
                  <c:v>36.10569897710667</c:v>
                </c:pt>
                <c:pt idx="230">
                  <c:v>46.020192533458555</c:v>
                </c:pt>
                <c:pt idx="231">
                  <c:v>37.179487179487182</c:v>
                </c:pt>
                <c:pt idx="232">
                  <c:v>33.249301628398179</c:v>
                </c:pt>
                <c:pt idx="233">
                  <c:v>36.567078094359211</c:v>
                </c:pt>
                <c:pt idx="234">
                  <c:v>32.408325074331024</c:v>
                </c:pt>
                <c:pt idx="235">
                  <c:v>34.186241610738257</c:v>
                </c:pt>
                <c:pt idx="236">
                  <c:v>31.945895419805353</c:v>
                </c:pt>
                <c:pt idx="237">
                  <c:v>36.078717201166185</c:v>
                </c:pt>
                <c:pt idx="238">
                  <c:v>38.59146865158889</c:v>
                </c:pt>
                <c:pt idx="239">
                  <c:v>38.939157566302654</c:v>
                </c:pt>
                <c:pt idx="240">
                  <c:v>35.615010423905488</c:v>
                </c:pt>
                <c:pt idx="241">
                  <c:v>36.984961486734313</c:v>
                </c:pt>
                <c:pt idx="242">
                  <c:v>37.221970040853385</c:v>
                </c:pt>
                <c:pt idx="243">
                  <c:v>33.696605286233243</c:v>
                </c:pt>
                <c:pt idx="244">
                  <c:v>35.92336349121873</c:v>
                </c:pt>
                <c:pt idx="245">
                  <c:v>38.95576897064791</c:v>
                </c:pt>
                <c:pt idx="246">
                  <c:v>41.310909874946091</c:v>
                </c:pt>
                <c:pt idx="247">
                  <c:v>37.781954887218049</c:v>
                </c:pt>
                <c:pt idx="248">
                  <c:v>34.707395850440683</c:v>
                </c:pt>
                <c:pt idx="249">
                  <c:v>35.662824207492797</c:v>
                </c:pt>
                <c:pt idx="250">
                  <c:v>36.554674720020138</c:v>
                </c:pt>
                <c:pt idx="251">
                  <c:v>36.258299700559824</c:v>
                </c:pt>
                <c:pt idx="252">
                  <c:v>37.965425531914889</c:v>
                </c:pt>
                <c:pt idx="253">
                  <c:v>36.234128213069063</c:v>
                </c:pt>
                <c:pt idx="254">
                  <c:v>35.236866791744845</c:v>
                </c:pt>
                <c:pt idx="255">
                  <c:v>31.570549350353318</c:v>
                </c:pt>
                <c:pt idx="256">
                  <c:v>39.199332777314432</c:v>
                </c:pt>
                <c:pt idx="257">
                  <c:v>37.982805081483384</c:v>
                </c:pt>
                <c:pt idx="258">
                  <c:v>33.712925432670652</c:v>
                </c:pt>
                <c:pt idx="259">
                  <c:v>34.711181770005297</c:v>
                </c:pt>
                <c:pt idx="260">
                  <c:v>43.731100255873457</c:v>
                </c:pt>
                <c:pt idx="261">
                  <c:v>34.926140781053768</c:v>
                </c:pt>
                <c:pt idx="262">
                  <c:v>36.450167973124302</c:v>
                </c:pt>
                <c:pt idx="263">
                  <c:v>38.714073339940533</c:v>
                </c:pt>
                <c:pt idx="264">
                  <c:v>38.459001253380826</c:v>
                </c:pt>
                <c:pt idx="265">
                  <c:v>37.780247074972216</c:v>
                </c:pt>
                <c:pt idx="266">
                  <c:v>31.569555967332374</c:v>
                </c:pt>
                <c:pt idx="267">
                  <c:v>42.525174283501158</c:v>
                </c:pt>
                <c:pt idx="268">
                  <c:v>36.113276175630034</c:v>
                </c:pt>
                <c:pt idx="269">
                  <c:v>35.026822341432634</c:v>
                </c:pt>
                <c:pt idx="270">
                  <c:v>41.817450743868115</c:v>
                </c:pt>
                <c:pt idx="271">
                  <c:v>38.356164383561648</c:v>
                </c:pt>
                <c:pt idx="272">
                  <c:v>38.356164383561648</c:v>
                </c:pt>
                <c:pt idx="273">
                  <c:v>42.919243249862248</c:v>
                </c:pt>
                <c:pt idx="274">
                  <c:v>36.922861346598474</c:v>
                </c:pt>
                <c:pt idx="275">
                  <c:v>34.352649659289298</c:v>
                </c:pt>
                <c:pt idx="276">
                  <c:v>30.907735535294453</c:v>
                </c:pt>
                <c:pt idx="277">
                  <c:v>33.542319749216304</c:v>
                </c:pt>
                <c:pt idx="278">
                  <c:v>39.219512195121951</c:v>
                </c:pt>
                <c:pt idx="279">
                  <c:v>36.753040719196193</c:v>
                </c:pt>
                <c:pt idx="280">
                  <c:v>47.307430129516021</c:v>
                </c:pt>
                <c:pt idx="281">
                  <c:v>45.868493608488599</c:v>
                </c:pt>
                <c:pt idx="282">
                  <c:v>35.835023664638271</c:v>
                </c:pt>
                <c:pt idx="283">
                  <c:v>36.418535863938871</c:v>
                </c:pt>
                <c:pt idx="284">
                  <c:v>39.125508231687</c:v>
                </c:pt>
                <c:pt idx="285">
                  <c:v>36.837913181999198</c:v>
                </c:pt>
                <c:pt idx="286">
                  <c:v>34.575722855024601</c:v>
                </c:pt>
                <c:pt idx="287">
                  <c:v>38.820605816374503</c:v>
                </c:pt>
                <c:pt idx="288">
                  <c:v>39.330279576686145</c:v>
                </c:pt>
                <c:pt idx="289">
                  <c:v>30.512904279647174</c:v>
                </c:pt>
                <c:pt idx="290">
                  <c:v>37.350789372352715</c:v>
                </c:pt>
                <c:pt idx="291">
                  <c:v>33.172746042670333</c:v>
                </c:pt>
                <c:pt idx="292">
                  <c:v>38.388367984780544</c:v>
                </c:pt>
                <c:pt idx="293">
                  <c:v>33.155080213903744</c:v>
                </c:pt>
                <c:pt idx="294">
                  <c:v>36.167647684561373</c:v>
                </c:pt>
                <c:pt idx="295">
                  <c:v>40.013592727890583</c:v>
                </c:pt>
                <c:pt idx="296">
                  <c:v>37.230388789668908</c:v>
                </c:pt>
                <c:pt idx="297">
                  <c:v>30.445111277819457</c:v>
                </c:pt>
                <c:pt idx="298">
                  <c:v>33.236228813559322</c:v>
                </c:pt>
                <c:pt idx="299">
                  <c:v>36.927728188885695</c:v>
                </c:pt>
                <c:pt idx="300">
                  <c:v>39.341458199700661</c:v>
                </c:pt>
                <c:pt idx="301">
                  <c:v>40.417672964909784</c:v>
                </c:pt>
                <c:pt idx="302">
                  <c:v>46.134020618556704</c:v>
                </c:pt>
                <c:pt idx="303">
                  <c:v>35.2949254961203</c:v>
                </c:pt>
                <c:pt idx="304">
                  <c:v>36.618567928124151</c:v>
                </c:pt>
                <c:pt idx="305">
                  <c:v>39.886660854402791</c:v>
                </c:pt>
                <c:pt idx="306">
                  <c:v>35.965707116470341</c:v>
                </c:pt>
                <c:pt idx="307">
                  <c:v>40.886699507389167</c:v>
                </c:pt>
                <c:pt idx="308">
                  <c:v>42.31414605675932</c:v>
                </c:pt>
                <c:pt idx="309">
                  <c:v>40.165488708843306</c:v>
                </c:pt>
                <c:pt idx="310">
                  <c:v>33.287482806052267</c:v>
                </c:pt>
                <c:pt idx="311">
                  <c:v>33.309617747881774</c:v>
                </c:pt>
                <c:pt idx="312">
                  <c:v>37.552062340454121</c:v>
                </c:pt>
                <c:pt idx="313">
                  <c:v>37.596626844694306</c:v>
                </c:pt>
                <c:pt idx="314">
                  <c:v>36.273701566364387</c:v>
                </c:pt>
                <c:pt idx="315">
                  <c:v>37.414491134999302</c:v>
                </c:pt>
                <c:pt idx="316">
                  <c:v>46.247948679695661</c:v>
                </c:pt>
                <c:pt idx="317">
                  <c:v>40.283070223189988</c:v>
                </c:pt>
                <c:pt idx="318">
                  <c:v>34.962812281482421</c:v>
                </c:pt>
                <c:pt idx="319">
                  <c:v>36.933847692527507</c:v>
                </c:pt>
                <c:pt idx="320">
                  <c:v>36.649582250930287</c:v>
                </c:pt>
                <c:pt idx="321">
                  <c:v>35.269867928849528</c:v>
                </c:pt>
                <c:pt idx="322">
                  <c:v>34.427597718736955</c:v>
                </c:pt>
                <c:pt idx="323">
                  <c:v>40.274715957266409</c:v>
                </c:pt>
                <c:pt idx="324">
                  <c:v>37.207726194510336</c:v>
                </c:pt>
                <c:pt idx="325">
                  <c:v>30.432836775142253</c:v>
                </c:pt>
                <c:pt idx="326">
                  <c:v>38.67289462838302</c:v>
                </c:pt>
                <c:pt idx="327">
                  <c:v>36.306235201262822</c:v>
                </c:pt>
                <c:pt idx="328">
                  <c:v>37.196845707484009</c:v>
                </c:pt>
                <c:pt idx="329">
                  <c:v>37.073024889752595</c:v>
                </c:pt>
                <c:pt idx="330">
                  <c:v>36.235086168802475</c:v>
                </c:pt>
                <c:pt idx="331">
                  <c:v>34.662166912746962</c:v>
                </c:pt>
                <c:pt idx="332">
                  <c:v>34.798298749838899</c:v>
                </c:pt>
                <c:pt idx="333">
                  <c:v>34.698935704913254</c:v>
                </c:pt>
                <c:pt idx="334">
                  <c:v>33.032821524158329</c:v>
                </c:pt>
                <c:pt idx="335">
                  <c:v>46.531791907514446</c:v>
                </c:pt>
                <c:pt idx="336">
                  <c:v>38.866728035184614</c:v>
                </c:pt>
                <c:pt idx="337">
                  <c:v>33.32407664537628</c:v>
                </c:pt>
                <c:pt idx="338">
                  <c:v>32.731722239216886</c:v>
                </c:pt>
                <c:pt idx="339">
                  <c:v>30.205179952909518</c:v>
                </c:pt>
                <c:pt idx="340">
                  <c:v>39.186581564494581</c:v>
                </c:pt>
                <c:pt idx="341">
                  <c:v>33.536936729284314</c:v>
                </c:pt>
                <c:pt idx="342">
                  <c:v>25.433992733144933</c:v>
                </c:pt>
                <c:pt idx="343">
                  <c:v>27.742239579826276</c:v>
                </c:pt>
                <c:pt idx="344">
                  <c:v>31.196287383980749</c:v>
                </c:pt>
                <c:pt idx="345">
                  <c:v>30.313588850174213</c:v>
                </c:pt>
                <c:pt idx="346">
                  <c:v>30.616958099637085</c:v>
                </c:pt>
                <c:pt idx="347">
                  <c:v>32.12627669452182</c:v>
                </c:pt>
                <c:pt idx="348">
                  <c:v>31.076301162203134</c:v>
                </c:pt>
                <c:pt idx="349">
                  <c:v>28.402771836769613</c:v>
                </c:pt>
                <c:pt idx="350">
                  <c:v>31.969074062710927</c:v>
                </c:pt>
                <c:pt idx="351">
                  <c:v>36.634149764895781</c:v>
                </c:pt>
                <c:pt idx="352">
                  <c:v>31.914893617021274</c:v>
                </c:pt>
                <c:pt idx="353">
                  <c:v>32.036209734305196</c:v>
                </c:pt>
                <c:pt idx="354">
                  <c:v>31.826657236546005</c:v>
                </c:pt>
                <c:pt idx="355">
                  <c:v>34.616906237636819</c:v>
                </c:pt>
                <c:pt idx="356">
                  <c:v>36.00643690492155</c:v>
                </c:pt>
                <c:pt idx="357">
                  <c:v>29.319371727748692</c:v>
                </c:pt>
                <c:pt idx="358">
                  <c:v>36.989998412446418</c:v>
                </c:pt>
                <c:pt idx="359">
                  <c:v>32.238766285562356</c:v>
                </c:pt>
                <c:pt idx="360">
                  <c:v>26.729275781108903</c:v>
                </c:pt>
                <c:pt idx="361">
                  <c:v>33.062880324543613</c:v>
                </c:pt>
                <c:pt idx="362">
                  <c:v>34.213767620090323</c:v>
                </c:pt>
                <c:pt idx="363">
                  <c:v>32.699892434564354</c:v>
                </c:pt>
                <c:pt idx="364">
                  <c:v>41.607798813224072</c:v>
                </c:pt>
                <c:pt idx="365">
                  <c:v>34.305894223492814</c:v>
                </c:pt>
                <c:pt idx="366">
                  <c:v>33.297957017776596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4-42B4-ACBD-65D3F385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489512"/>
        <c:axId val="8184891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DanePolicja!$G$2:$G$368</c15:sqref>
                        </c15:formulaRef>
                      </c:ext>
                    </c:extLst>
                    <c:numCache>
                      <c:formatCode>0</c:formatCode>
                      <c:ptCount val="367"/>
                      <c:pt idx="0">
                        <c:v>31.659993840468122</c:v>
                      </c:pt>
                      <c:pt idx="1">
                        <c:v>35.918538150369649</c:v>
                      </c:pt>
                      <c:pt idx="2">
                        <c:v>30.783973168832723</c:v>
                      </c:pt>
                      <c:pt idx="3">
                        <c:v>26.219581857648805</c:v>
                      </c:pt>
                      <c:pt idx="4">
                        <c:v>30.448515476942514</c:v>
                      </c:pt>
                      <c:pt idx="5">
                        <c:v>27.169763298549253</c:v>
                      </c:pt>
                      <c:pt idx="6">
                        <c:v>28.905488795063331</c:v>
                      </c:pt>
                      <c:pt idx="7">
                        <c:v>44.41994682575708</c:v>
                      </c:pt>
                      <c:pt idx="8">
                        <c:v>38.693723179867625</c:v>
                      </c:pt>
                      <c:pt idx="9">
                        <c:v>34.246575342465754</c:v>
                      </c:pt>
                      <c:pt idx="10">
                        <c:v>24.474049068659955</c:v>
                      </c:pt>
                      <c:pt idx="11">
                        <c:v>25.664754148929607</c:v>
                      </c:pt>
                      <c:pt idx="12">
                        <c:v>26.532715095311694</c:v>
                      </c:pt>
                      <c:pt idx="13">
                        <c:v>26.867030965391621</c:v>
                      </c:pt>
                      <c:pt idx="14">
                        <c:v>29.710192983619603</c:v>
                      </c:pt>
                      <c:pt idx="15">
                        <c:v>29.672747923617518</c:v>
                      </c:pt>
                      <c:pt idx="16">
                        <c:v>28.295544826743264</c:v>
                      </c:pt>
                      <c:pt idx="17">
                        <c:v>24.5930644019816</c:v>
                      </c:pt>
                      <c:pt idx="18">
                        <c:v>30.40230638186345</c:v>
                      </c:pt>
                      <c:pt idx="19">
                        <c:v>29.947916666666668</c:v>
                      </c:pt>
                      <c:pt idx="20">
                        <c:v>31.579620277440387</c:v>
                      </c:pt>
                      <c:pt idx="21">
                        <c:v>31.287302883709241</c:v>
                      </c:pt>
                      <c:pt idx="22">
                        <c:v>37.866666666666667</c:v>
                      </c:pt>
                      <c:pt idx="23">
                        <c:v>32.899628252788105</c:v>
                      </c:pt>
                      <c:pt idx="24">
                        <c:v>29.508786661068797</c:v>
                      </c:pt>
                      <c:pt idx="25">
                        <c:v>33.363507047717576</c:v>
                      </c:pt>
                      <c:pt idx="26">
                        <c:v>40.193642907191538</c:v>
                      </c:pt>
                      <c:pt idx="27">
                        <c:v>44.688418122777179</c:v>
                      </c:pt>
                      <c:pt idx="28">
                        <c:v>32.833425908782324</c:v>
                      </c:pt>
                      <c:pt idx="29">
                        <c:v>42.526440352044965</c:v>
                      </c:pt>
                      <c:pt idx="30">
                        <c:v>35.099141757916541</c:v>
                      </c:pt>
                      <c:pt idx="31">
                        <c:v>30.346901275126676</c:v>
                      </c:pt>
                      <c:pt idx="32">
                        <c:v>34.655010927255695</c:v>
                      </c:pt>
                      <c:pt idx="33">
                        <c:v>33.649644150330879</c:v>
                      </c:pt>
                      <c:pt idx="34">
                        <c:v>30.979162825004611</c:v>
                      </c:pt>
                      <c:pt idx="35">
                        <c:v>41.56367893846754</c:v>
                      </c:pt>
                      <c:pt idx="36">
                        <c:v>40.364679067715613</c:v>
                      </c:pt>
                      <c:pt idx="37">
                        <c:v>34.59493274945261</c:v>
                      </c:pt>
                      <c:pt idx="38">
                        <c:v>27.401798390913392</c:v>
                      </c:pt>
                      <c:pt idx="39">
                        <c:v>30.872876391329818</c:v>
                      </c:pt>
                      <c:pt idx="40">
                        <c:v>33.947623666343361</c:v>
                      </c:pt>
                      <c:pt idx="41">
                        <c:v>29.080496341075406</c:v>
                      </c:pt>
                      <c:pt idx="42">
                        <c:v>36.511539916761251</c:v>
                      </c:pt>
                      <c:pt idx="43">
                        <c:v>35.198490456491761</c:v>
                      </c:pt>
                      <c:pt idx="44">
                        <c:v>34.349532146091157</c:v>
                      </c:pt>
                      <c:pt idx="45">
                        <c:v>33.180103724658181</c:v>
                      </c:pt>
                      <c:pt idx="46">
                        <c:v>37.384854647685131</c:v>
                      </c:pt>
                      <c:pt idx="47">
                        <c:v>33.143705169428642</c:v>
                      </c:pt>
                      <c:pt idx="48">
                        <c:v>34.575835475578408</c:v>
                      </c:pt>
                      <c:pt idx="49">
                        <c:v>38.425492033739452</c:v>
                      </c:pt>
                      <c:pt idx="50">
                        <c:v>40.386303775241437</c:v>
                      </c:pt>
                      <c:pt idx="51">
                        <c:v>34.540211470682472</c:v>
                      </c:pt>
                      <c:pt idx="52">
                        <c:v>35.927104425802717</c:v>
                      </c:pt>
                      <c:pt idx="53">
                        <c:v>38.261750918535412</c:v>
                      </c:pt>
                      <c:pt idx="54">
                        <c:v>35.353844271820911</c:v>
                      </c:pt>
                      <c:pt idx="55">
                        <c:v>35.252723458962045</c:v>
                      </c:pt>
                      <c:pt idx="56">
                        <c:v>48.836032388663973</c:v>
                      </c:pt>
                      <c:pt idx="57">
                        <c:v>39.649173673528566</c:v>
                      </c:pt>
                      <c:pt idx="58">
                        <c:v>37.619450828595625</c:v>
                      </c:pt>
                      <c:pt idx="59">
                        <c:v>34.125220759984046</c:v>
                      </c:pt>
                      <c:pt idx="60">
                        <c:v>38.023284617290066</c:v>
                      </c:pt>
                      <c:pt idx="61">
                        <c:v>38.777459407831898</c:v>
                      </c:pt>
                      <c:pt idx="62">
                        <c:v>35.420910823421174</c:v>
                      </c:pt>
                      <c:pt idx="63">
                        <c:v>32.655781406197931</c:v>
                      </c:pt>
                      <c:pt idx="64">
                        <c:v>39.05639743790033</c:v>
                      </c:pt>
                      <c:pt idx="65">
                        <c:v>35.536280665415241</c:v>
                      </c:pt>
                      <c:pt idx="66">
                        <c:v>32.965064198268138</c:v>
                      </c:pt>
                      <c:pt idx="67">
                        <c:v>37.949314714248771</c:v>
                      </c:pt>
                      <c:pt idx="68">
                        <c:v>37.540624792730647</c:v>
                      </c:pt>
                      <c:pt idx="69">
                        <c:v>35.390465048259728</c:v>
                      </c:pt>
                      <c:pt idx="70">
                        <c:v>36.049517072507143</c:v>
                      </c:pt>
                      <c:pt idx="71">
                        <c:v>38.673188627331093</c:v>
                      </c:pt>
                      <c:pt idx="72">
                        <c:v>36.034935564649118</c:v>
                      </c:pt>
                      <c:pt idx="73">
                        <c:v>30.987135081642752</c:v>
                      </c:pt>
                      <c:pt idx="74">
                        <c:v>33.37354242058705</c:v>
                      </c:pt>
                      <c:pt idx="75">
                        <c:v>31.853088480801336</c:v>
                      </c:pt>
                      <c:pt idx="76">
                        <c:v>33.944648216072025</c:v>
                      </c:pt>
                      <c:pt idx="77">
                        <c:v>41.197336486402392</c:v>
                      </c:pt>
                      <c:pt idx="78">
                        <c:v>37.371688487307146</c:v>
                      </c:pt>
                      <c:pt idx="79">
                        <c:v>39.278004317582152</c:v>
                      </c:pt>
                      <c:pt idx="80">
                        <c:v>32.543190036159103</c:v>
                      </c:pt>
                      <c:pt idx="81">
                        <c:v>32.441661923733633</c:v>
                      </c:pt>
                      <c:pt idx="82">
                        <c:v>32.597054886211517</c:v>
                      </c:pt>
                      <c:pt idx="83">
                        <c:v>33.264586521189543</c:v>
                      </c:pt>
                      <c:pt idx="84">
                        <c:v>37.752866898595542</c:v>
                      </c:pt>
                      <c:pt idx="85">
                        <c:v>36.99934578759904</c:v>
                      </c:pt>
                      <c:pt idx="86">
                        <c:v>35.221350438119231</c:v>
                      </c:pt>
                      <c:pt idx="87">
                        <c:v>36.822235596651531</c:v>
                      </c:pt>
                      <c:pt idx="88">
                        <c:v>33.391477697483175</c:v>
                      </c:pt>
                      <c:pt idx="89">
                        <c:v>32.07592503604036</c:v>
                      </c:pt>
                      <c:pt idx="90">
                        <c:v>35.256410256410255</c:v>
                      </c:pt>
                      <c:pt idx="91">
                        <c:v>40.138190954773869</c:v>
                      </c:pt>
                      <c:pt idx="92">
                        <c:v>39.66864224137931</c:v>
                      </c:pt>
                      <c:pt idx="93">
                        <c:v>30.829949093405023</c:v>
                      </c:pt>
                      <c:pt idx="94">
                        <c:v>31.067545128287534</c:v>
                      </c:pt>
                      <c:pt idx="95">
                        <c:v>38.884243220642695</c:v>
                      </c:pt>
                      <c:pt idx="96">
                        <c:v>36.88499479198579</c:v>
                      </c:pt>
                      <c:pt idx="97">
                        <c:v>39.377618192698982</c:v>
                      </c:pt>
                      <c:pt idx="98">
                        <c:v>38.491516277954318</c:v>
                      </c:pt>
                      <c:pt idx="99">
                        <c:v>37.525354969574039</c:v>
                      </c:pt>
                      <c:pt idx="100">
                        <c:v>32.415345049292753</c:v>
                      </c:pt>
                      <c:pt idx="101">
                        <c:v>27.879595690325445</c:v>
                      </c:pt>
                      <c:pt idx="102">
                        <c:v>29.729240788759572</c:v>
                      </c:pt>
                      <c:pt idx="103">
                        <c:v>31.673319808913032</c:v>
                      </c:pt>
                      <c:pt idx="104">
                        <c:v>35.316946959896505</c:v>
                      </c:pt>
                      <c:pt idx="105">
                        <c:v>37.205512933668274</c:v>
                      </c:pt>
                      <c:pt idx="106">
                        <c:v>36.268633779007224</c:v>
                      </c:pt>
                      <c:pt idx="107">
                        <c:v>37.551073351060381</c:v>
                      </c:pt>
                      <c:pt idx="108">
                        <c:v>29.427792915531334</c:v>
                      </c:pt>
                      <c:pt idx="109">
                        <c:v>31.571263458847866</c:v>
                      </c:pt>
                      <c:pt idx="110">
                        <c:v>35.814350103544889</c:v>
                      </c:pt>
                      <c:pt idx="111">
                        <c:v>32.399137665537417</c:v>
                      </c:pt>
                      <c:pt idx="112">
                        <c:v>43.623346681228007</c:v>
                      </c:pt>
                      <c:pt idx="113">
                        <c:v>38.07404660362198</c:v>
                      </c:pt>
                      <c:pt idx="114">
                        <c:v>31.844456121912771</c:v>
                      </c:pt>
                      <c:pt idx="115">
                        <c:v>34.498083439808894</c:v>
                      </c:pt>
                      <c:pt idx="116">
                        <c:v>26.280393171236419</c:v>
                      </c:pt>
                      <c:pt idx="117">
                        <c:v>30.318931840708995</c:v>
                      </c:pt>
                      <c:pt idx="118">
                        <c:v>30.817461256358687</c:v>
                      </c:pt>
                      <c:pt idx="119">
                        <c:v>29.639407211855762</c:v>
                      </c:pt>
                      <c:pt idx="120">
                        <c:v>40.716612377850161</c:v>
                      </c:pt>
                      <c:pt idx="121">
                        <c:v>36.111994909322306</c:v>
                      </c:pt>
                      <c:pt idx="122">
                        <c:v>32.239657631954351</c:v>
                      </c:pt>
                      <c:pt idx="123">
                        <c:v>34.907597535934286</c:v>
                      </c:pt>
                      <c:pt idx="124">
                        <c:v>32.516061360954502</c:v>
                      </c:pt>
                      <c:pt idx="125">
                        <c:v>29.855600364251334</c:v>
                      </c:pt>
                      <c:pt idx="126">
                        <c:v>36.545489517214847</c:v>
                      </c:pt>
                      <c:pt idx="127">
                        <c:v>40.578358208955223</c:v>
                      </c:pt>
                      <c:pt idx="128">
                        <c:v>37.691664343462499</c:v>
                      </c:pt>
                      <c:pt idx="129">
                        <c:v>32.20003597769383</c:v>
                      </c:pt>
                      <c:pt idx="130">
                        <c:v>36.249543072986476</c:v>
                      </c:pt>
                      <c:pt idx="131">
                        <c:v>34.055914497916788</c:v>
                      </c:pt>
                      <c:pt idx="132">
                        <c:v>32.163564235581326</c:v>
                      </c:pt>
                      <c:pt idx="133">
                        <c:v>31.787488852083065</c:v>
                      </c:pt>
                      <c:pt idx="134">
                        <c:v>33.609777389786117</c:v>
                      </c:pt>
                      <c:pt idx="135">
                        <c:v>37.742005655862521</c:v>
                      </c:pt>
                      <c:pt idx="136">
                        <c:v>31.757233592095979</c:v>
                      </c:pt>
                      <c:pt idx="137">
                        <c:v>36.499353473609972</c:v>
                      </c:pt>
                      <c:pt idx="138">
                        <c:v>36.387814313346226</c:v>
                      </c:pt>
                      <c:pt idx="139">
                        <c:v>33.135242211417257</c:v>
                      </c:pt>
                      <c:pt idx="140">
                        <c:v>43.232323232323232</c:v>
                      </c:pt>
                      <c:pt idx="141">
                        <c:v>32.706066253832745</c:v>
                      </c:pt>
                      <c:pt idx="142">
                        <c:v>31.084515992374499</c:v>
                      </c:pt>
                      <c:pt idx="143">
                        <c:v>29.786511127470412</c:v>
                      </c:pt>
                      <c:pt idx="144">
                        <c:v>35.850115343849367</c:v>
                      </c:pt>
                      <c:pt idx="145">
                        <c:v>37.714781961416783</c:v>
                      </c:pt>
                      <c:pt idx="146">
                        <c:v>35.344156233151615</c:v>
                      </c:pt>
                      <c:pt idx="147">
                        <c:v>37.792582984493841</c:v>
                      </c:pt>
                      <c:pt idx="148">
                        <c:v>41.36300965136892</c:v>
                      </c:pt>
                      <c:pt idx="149">
                        <c:v>40.533457573816314</c:v>
                      </c:pt>
                      <c:pt idx="150">
                        <c:v>34.665099882491191</c:v>
                      </c:pt>
                      <c:pt idx="151">
                        <c:v>34.751951649458576</c:v>
                      </c:pt>
                      <c:pt idx="152">
                        <c:v>36.475166545742361</c:v>
                      </c:pt>
                      <c:pt idx="153">
                        <c:v>35.014988200778113</c:v>
                      </c:pt>
                      <c:pt idx="154">
                        <c:v>38.052202865806528</c:v>
                      </c:pt>
                      <c:pt idx="155">
                        <c:v>34.235294117647058</c:v>
                      </c:pt>
                      <c:pt idx="156">
                        <c:v>39.769012856831559</c:v>
                      </c:pt>
                      <c:pt idx="157">
                        <c:v>32.504780114722756</c:v>
                      </c:pt>
                      <c:pt idx="158">
                        <c:v>35.652871718445489</c:v>
                      </c:pt>
                      <c:pt idx="159">
                        <c:v>31.831146605818596</c:v>
                      </c:pt>
                      <c:pt idx="160">
                        <c:v>32.606790159527847</c:v>
                      </c:pt>
                      <c:pt idx="161">
                        <c:v>32.246633593196314</c:v>
                      </c:pt>
                      <c:pt idx="162">
                        <c:v>36.195139010316495</c:v>
                      </c:pt>
                      <c:pt idx="163">
                        <c:v>30.660005259006045</c:v>
                      </c:pt>
                      <c:pt idx="164">
                        <c:v>31.170928667563931</c:v>
                      </c:pt>
                      <c:pt idx="165">
                        <c:v>32.701149425287362</c:v>
                      </c:pt>
                      <c:pt idx="166">
                        <c:v>31.802336248547487</c:v>
                      </c:pt>
                      <c:pt idx="167">
                        <c:v>27.809023872015995</c:v>
                      </c:pt>
                      <c:pt idx="168">
                        <c:v>47.73604773604773</c:v>
                      </c:pt>
                      <c:pt idx="169">
                        <c:v>39.830024735206443</c:v>
                      </c:pt>
                      <c:pt idx="170">
                        <c:v>33.474502523641</c:v>
                      </c:pt>
                      <c:pt idx="171">
                        <c:v>37.119908204245554</c:v>
                      </c:pt>
                      <c:pt idx="172">
                        <c:v>38.074951740664318</c:v>
                      </c:pt>
                      <c:pt idx="173">
                        <c:v>33.476060724017124</c:v>
                      </c:pt>
                      <c:pt idx="174">
                        <c:v>31.09903381642512</c:v>
                      </c:pt>
                      <c:pt idx="175">
                        <c:v>38.189886867929246</c:v>
                      </c:pt>
                      <c:pt idx="176">
                        <c:v>33.443770707007559</c:v>
                      </c:pt>
                      <c:pt idx="177">
                        <c:v>33.429167371328717</c:v>
                      </c:pt>
                      <c:pt idx="178">
                        <c:v>28.005194511885268</c:v>
                      </c:pt>
                      <c:pt idx="179">
                        <c:v>32.420483851160505</c:v>
                      </c:pt>
                      <c:pt idx="180">
                        <c:v>34.215666464605647</c:v>
                      </c:pt>
                      <c:pt idx="181">
                        <c:v>32.255953938759482</c:v>
                      </c:pt>
                      <c:pt idx="182">
                        <c:v>33.194182601669809</c:v>
                      </c:pt>
                      <c:pt idx="183">
                        <c:v>38.558318531675546</c:v>
                      </c:pt>
                      <c:pt idx="184">
                        <c:v>33.960720130932899</c:v>
                      </c:pt>
                      <c:pt idx="185">
                        <c:v>31.540987136013776</c:v>
                      </c:pt>
                      <c:pt idx="186">
                        <c:v>32.965743782261853</c:v>
                      </c:pt>
                      <c:pt idx="187">
                        <c:v>32.346587259882057</c:v>
                      </c:pt>
                      <c:pt idx="188">
                        <c:v>31.82880776838698</c:v>
                      </c:pt>
                      <c:pt idx="189">
                        <c:v>33.477321814254864</c:v>
                      </c:pt>
                      <c:pt idx="190">
                        <c:v>35.005253553060889</c:v>
                      </c:pt>
                      <c:pt idx="191">
                        <c:v>32.020911615749064</c:v>
                      </c:pt>
                      <c:pt idx="192">
                        <c:v>28.505878979065098</c:v>
                      </c:pt>
                      <c:pt idx="193">
                        <c:v>34.447234563131801</c:v>
                      </c:pt>
                      <c:pt idx="194">
                        <c:v>33.726385190820338</c:v>
                      </c:pt>
                      <c:pt idx="195">
                        <c:v>33.677648065521666</c:v>
                      </c:pt>
                      <c:pt idx="196">
                        <c:v>36.105450840550176</c:v>
                      </c:pt>
                      <c:pt idx="197">
                        <c:v>38.153589083060645</c:v>
                      </c:pt>
                      <c:pt idx="198">
                        <c:v>32.070317139802832</c:v>
                      </c:pt>
                      <c:pt idx="199">
                        <c:v>30.413553738455203</c:v>
                      </c:pt>
                      <c:pt idx="200">
                        <c:v>35.5660201995167</c:v>
                      </c:pt>
                      <c:pt idx="201">
                        <c:v>35.167916133357714</c:v>
                      </c:pt>
                      <c:pt idx="202">
                        <c:v>32.160865822162101</c:v>
                      </c:pt>
                      <c:pt idx="203">
                        <c:v>33.060072570891009</c:v>
                      </c:pt>
                      <c:pt idx="204">
                        <c:v>40.404040404040408</c:v>
                      </c:pt>
                      <c:pt idx="205">
                        <c:v>35.70737995488237</c:v>
                      </c:pt>
                      <c:pt idx="206">
                        <c:v>33.736312424837017</c:v>
                      </c:pt>
                      <c:pt idx="207">
                        <c:v>31.818181818181817</c:v>
                      </c:pt>
                      <c:pt idx="208">
                        <c:v>35.809104448617497</c:v>
                      </c:pt>
                      <c:pt idx="209">
                        <c:v>33.891651400157031</c:v>
                      </c:pt>
                      <c:pt idx="210">
                        <c:v>39.813824768853387</c:v>
                      </c:pt>
                      <c:pt idx="211">
                        <c:v>39.297409943435547</c:v>
                      </c:pt>
                      <c:pt idx="212">
                        <c:v>33.408408408408413</c:v>
                      </c:pt>
                      <c:pt idx="213">
                        <c:v>34.104603518920221</c:v>
                      </c:pt>
                      <c:pt idx="214">
                        <c:v>31.707793476137766</c:v>
                      </c:pt>
                      <c:pt idx="215">
                        <c:v>33.277647844971597</c:v>
                      </c:pt>
                      <c:pt idx="216">
                        <c:v>33.436908943528778</c:v>
                      </c:pt>
                      <c:pt idx="217">
                        <c:v>42.536007538026652</c:v>
                      </c:pt>
                      <c:pt idx="218">
                        <c:v>41.239515377446409</c:v>
                      </c:pt>
                      <c:pt idx="219">
                        <c:v>39.589156861470457</c:v>
                      </c:pt>
                      <c:pt idx="220">
                        <c:v>39.375928677563152</c:v>
                      </c:pt>
                      <c:pt idx="221">
                        <c:v>34.44158129595877</c:v>
                      </c:pt>
                      <c:pt idx="222">
                        <c:v>29.54924874791319</c:v>
                      </c:pt>
                      <c:pt idx="223">
                        <c:v>33.765889830508478</c:v>
                      </c:pt>
                      <c:pt idx="224">
                        <c:v>36.16054524801212</c:v>
                      </c:pt>
                      <c:pt idx="225">
                        <c:v>37.437784029430865</c:v>
                      </c:pt>
                      <c:pt idx="226">
                        <c:v>32.676477924669499</c:v>
                      </c:pt>
                      <c:pt idx="227">
                        <c:v>31.030550387131626</c:v>
                      </c:pt>
                      <c:pt idx="228">
                        <c:v>34.655609876848814</c:v>
                      </c:pt>
                      <c:pt idx="229">
                        <c:v>36.10569897710667</c:v>
                      </c:pt>
                      <c:pt idx="230">
                        <c:v>46.020192533458555</c:v>
                      </c:pt>
                      <c:pt idx="231">
                        <c:v>37.179487179487182</c:v>
                      </c:pt>
                      <c:pt idx="232">
                        <c:v>33.249301628398179</c:v>
                      </c:pt>
                      <c:pt idx="233">
                        <c:v>36.567078094359211</c:v>
                      </c:pt>
                      <c:pt idx="234">
                        <c:v>32.408325074331024</c:v>
                      </c:pt>
                      <c:pt idx="235">
                        <c:v>34.186241610738257</c:v>
                      </c:pt>
                      <c:pt idx="236">
                        <c:v>31.945895419805353</c:v>
                      </c:pt>
                      <c:pt idx="237">
                        <c:v>36.078717201166185</c:v>
                      </c:pt>
                      <c:pt idx="238">
                        <c:v>38.59146865158889</c:v>
                      </c:pt>
                      <c:pt idx="239">
                        <c:v>38.939157566302654</c:v>
                      </c:pt>
                      <c:pt idx="240">
                        <c:v>35.615010423905488</c:v>
                      </c:pt>
                      <c:pt idx="241">
                        <c:v>36.984961486734313</c:v>
                      </c:pt>
                      <c:pt idx="242">
                        <c:v>37.221970040853385</c:v>
                      </c:pt>
                      <c:pt idx="243">
                        <c:v>33.696605286233243</c:v>
                      </c:pt>
                      <c:pt idx="244">
                        <c:v>35.92336349121873</c:v>
                      </c:pt>
                      <c:pt idx="245">
                        <c:v>38.95576897064791</c:v>
                      </c:pt>
                      <c:pt idx="246">
                        <c:v>41.310909874946091</c:v>
                      </c:pt>
                      <c:pt idx="247">
                        <c:v>37.781954887218049</c:v>
                      </c:pt>
                      <c:pt idx="248">
                        <c:v>34.707395850440683</c:v>
                      </c:pt>
                      <c:pt idx="249">
                        <c:v>35.662824207492797</c:v>
                      </c:pt>
                      <c:pt idx="250">
                        <c:v>36.554674720020138</c:v>
                      </c:pt>
                      <c:pt idx="251">
                        <c:v>36.258299700559824</c:v>
                      </c:pt>
                      <c:pt idx="252">
                        <c:v>37.965425531914889</c:v>
                      </c:pt>
                      <c:pt idx="253">
                        <c:v>36.234128213069063</c:v>
                      </c:pt>
                      <c:pt idx="254">
                        <c:v>35.236866791744845</c:v>
                      </c:pt>
                      <c:pt idx="255">
                        <c:v>31.570549350353318</c:v>
                      </c:pt>
                      <c:pt idx="256">
                        <c:v>39.199332777314432</c:v>
                      </c:pt>
                      <c:pt idx="257">
                        <c:v>37.982805081483384</c:v>
                      </c:pt>
                      <c:pt idx="258">
                        <c:v>33.712925432670652</c:v>
                      </c:pt>
                      <c:pt idx="259">
                        <c:v>34.711181770005297</c:v>
                      </c:pt>
                      <c:pt idx="260">
                        <c:v>43.731100255873457</c:v>
                      </c:pt>
                      <c:pt idx="261">
                        <c:v>34.926140781053768</c:v>
                      </c:pt>
                      <c:pt idx="262">
                        <c:v>36.450167973124302</c:v>
                      </c:pt>
                      <c:pt idx="263">
                        <c:v>38.714073339940533</c:v>
                      </c:pt>
                      <c:pt idx="264">
                        <c:v>38.459001253380826</c:v>
                      </c:pt>
                      <c:pt idx="265">
                        <c:v>37.780247074972216</c:v>
                      </c:pt>
                      <c:pt idx="266">
                        <c:v>31.569555967332374</c:v>
                      </c:pt>
                      <c:pt idx="267">
                        <c:v>42.525174283501158</c:v>
                      </c:pt>
                      <c:pt idx="268">
                        <c:v>36.113276175630034</c:v>
                      </c:pt>
                      <c:pt idx="269">
                        <c:v>35.026822341432634</c:v>
                      </c:pt>
                      <c:pt idx="270">
                        <c:v>41.817450743868115</c:v>
                      </c:pt>
                      <c:pt idx="271">
                        <c:v>38.356164383561648</c:v>
                      </c:pt>
                      <c:pt idx="272">
                        <c:v>38.356164383561648</c:v>
                      </c:pt>
                      <c:pt idx="273">
                        <c:v>42.919243249862248</c:v>
                      </c:pt>
                      <c:pt idx="274">
                        <c:v>36.922861346598474</c:v>
                      </c:pt>
                      <c:pt idx="275">
                        <c:v>34.352649659289298</c:v>
                      </c:pt>
                      <c:pt idx="276">
                        <c:v>30.907735535294453</c:v>
                      </c:pt>
                      <c:pt idx="277">
                        <c:v>33.542319749216304</c:v>
                      </c:pt>
                      <c:pt idx="278">
                        <c:v>39.219512195121951</c:v>
                      </c:pt>
                      <c:pt idx="279">
                        <c:v>36.753040719196193</c:v>
                      </c:pt>
                      <c:pt idx="280">
                        <c:v>47.307430129516021</c:v>
                      </c:pt>
                      <c:pt idx="281">
                        <c:v>45.868493608488599</c:v>
                      </c:pt>
                      <c:pt idx="282">
                        <c:v>35.835023664638271</c:v>
                      </c:pt>
                      <c:pt idx="283">
                        <c:v>36.418535863938871</c:v>
                      </c:pt>
                      <c:pt idx="284">
                        <c:v>39.125508231687</c:v>
                      </c:pt>
                      <c:pt idx="285">
                        <c:v>36.837913181999198</c:v>
                      </c:pt>
                      <c:pt idx="286">
                        <c:v>34.575722855024601</c:v>
                      </c:pt>
                      <c:pt idx="287">
                        <c:v>38.820605816374503</c:v>
                      </c:pt>
                      <c:pt idx="288">
                        <c:v>39.330279576686145</c:v>
                      </c:pt>
                      <c:pt idx="289">
                        <c:v>30.512904279647174</c:v>
                      </c:pt>
                      <c:pt idx="290">
                        <c:v>37.350789372352715</c:v>
                      </c:pt>
                      <c:pt idx="291">
                        <c:v>33.172746042670333</c:v>
                      </c:pt>
                      <c:pt idx="292">
                        <c:v>38.388367984780544</c:v>
                      </c:pt>
                      <c:pt idx="293">
                        <c:v>33.155080213903744</c:v>
                      </c:pt>
                      <c:pt idx="294">
                        <c:v>36.167647684561373</c:v>
                      </c:pt>
                      <c:pt idx="295">
                        <c:v>40.013592727890583</c:v>
                      </c:pt>
                      <c:pt idx="296">
                        <c:v>37.230388789668908</c:v>
                      </c:pt>
                      <c:pt idx="297">
                        <c:v>30.445111277819457</c:v>
                      </c:pt>
                      <c:pt idx="298">
                        <c:v>33.236228813559322</c:v>
                      </c:pt>
                      <c:pt idx="299">
                        <c:v>36.927728188885695</c:v>
                      </c:pt>
                      <c:pt idx="300">
                        <c:v>39.341458199700661</c:v>
                      </c:pt>
                      <c:pt idx="301">
                        <c:v>40.417672964909784</c:v>
                      </c:pt>
                      <c:pt idx="302">
                        <c:v>46.134020618556704</c:v>
                      </c:pt>
                      <c:pt idx="303">
                        <c:v>35.2949254961203</c:v>
                      </c:pt>
                      <c:pt idx="304">
                        <c:v>36.618567928124151</c:v>
                      </c:pt>
                      <c:pt idx="305">
                        <c:v>39.886660854402791</c:v>
                      </c:pt>
                      <c:pt idx="306">
                        <c:v>35.965707116470341</c:v>
                      </c:pt>
                      <c:pt idx="307">
                        <c:v>40.886699507389167</c:v>
                      </c:pt>
                      <c:pt idx="308">
                        <c:v>42.31414605675932</c:v>
                      </c:pt>
                      <c:pt idx="309">
                        <c:v>40.165488708843306</c:v>
                      </c:pt>
                      <c:pt idx="310">
                        <c:v>33.287482806052267</c:v>
                      </c:pt>
                      <c:pt idx="311">
                        <c:v>33.309617747881774</c:v>
                      </c:pt>
                      <c:pt idx="312">
                        <c:v>37.552062340454121</c:v>
                      </c:pt>
                      <c:pt idx="313">
                        <c:v>37.596626844694306</c:v>
                      </c:pt>
                      <c:pt idx="314">
                        <c:v>36.273701566364387</c:v>
                      </c:pt>
                      <c:pt idx="315">
                        <c:v>37.414491134999302</c:v>
                      </c:pt>
                      <c:pt idx="316">
                        <c:v>46.247948679695661</c:v>
                      </c:pt>
                      <c:pt idx="317">
                        <c:v>40.283070223189988</c:v>
                      </c:pt>
                      <c:pt idx="318">
                        <c:v>34.962812281482421</c:v>
                      </c:pt>
                      <c:pt idx="319">
                        <c:v>36.933847692527507</c:v>
                      </c:pt>
                      <c:pt idx="320">
                        <c:v>36.649582250930287</c:v>
                      </c:pt>
                      <c:pt idx="321">
                        <c:v>35.269867928849528</c:v>
                      </c:pt>
                      <c:pt idx="322">
                        <c:v>34.427597718736955</c:v>
                      </c:pt>
                      <c:pt idx="323">
                        <c:v>40.274715957266409</c:v>
                      </c:pt>
                      <c:pt idx="324">
                        <c:v>37.207726194510336</c:v>
                      </c:pt>
                      <c:pt idx="325">
                        <c:v>30.432836775142253</c:v>
                      </c:pt>
                      <c:pt idx="326">
                        <c:v>38.67289462838302</c:v>
                      </c:pt>
                      <c:pt idx="327">
                        <c:v>36.306235201262822</c:v>
                      </c:pt>
                      <c:pt idx="328">
                        <c:v>37.196845707484009</c:v>
                      </c:pt>
                      <c:pt idx="329">
                        <c:v>37.073024889752595</c:v>
                      </c:pt>
                      <c:pt idx="330">
                        <c:v>36.235086168802475</c:v>
                      </c:pt>
                      <c:pt idx="331">
                        <c:v>34.662166912746962</c:v>
                      </c:pt>
                      <c:pt idx="332">
                        <c:v>34.798298749838899</c:v>
                      </c:pt>
                      <c:pt idx="333">
                        <c:v>34.698935704913254</c:v>
                      </c:pt>
                      <c:pt idx="334">
                        <c:v>33.032821524158329</c:v>
                      </c:pt>
                      <c:pt idx="335">
                        <c:v>46.531791907514446</c:v>
                      </c:pt>
                      <c:pt idx="336">
                        <c:v>38.866728035184614</c:v>
                      </c:pt>
                      <c:pt idx="337">
                        <c:v>33.32407664537628</c:v>
                      </c:pt>
                      <c:pt idx="338">
                        <c:v>32.731722239216886</c:v>
                      </c:pt>
                      <c:pt idx="339">
                        <c:v>30.205179952909518</c:v>
                      </c:pt>
                      <c:pt idx="340">
                        <c:v>39.186581564494581</c:v>
                      </c:pt>
                      <c:pt idx="341">
                        <c:v>33.536936729284314</c:v>
                      </c:pt>
                      <c:pt idx="342">
                        <c:v>25.433992733144933</c:v>
                      </c:pt>
                      <c:pt idx="343">
                        <c:v>27.742239579826276</c:v>
                      </c:pt>
                      <c:pt idx="344">
                        <c:v>31.196287383980749</c:v>
                      </c:pt>
                      <c:pt idx="345">
                        <c:v>30.313588850174213</c:v>
                      </c:pt>
                      <c:pt idx="346">
                        <c:v>30.616958099637085</c:v>
                      </c:pt>
                      <c:pt idx="347">
                        <c:v>32.12627669452182</c:v>
                      </c:pt>
                      <c:pt idx="348">
                        <c:v>31.076301162203134</c:v>
                      </c:pt>
                      <c:pt idx="349">
                        <c:v>28.402771836769613</c:v>
                      </c:pt>
                      <c:pt idx="350">
                        <c:v>31.969074062710927</c:v>
                      </c:pt>
                      <c:pt idx="351">
                        <c:v>36.634149764895781</c:v>
                      </c:pt>
                      <c:pt idx="352">
                        <c:v>31.914893617021274</c:v>
                      </c:pt>
                      <c:pt idx="353">
                        <c:v>32.036209734305196</c:v>
                      </c:pt>
                      <c:pt idx="354">
                        <c:v>31.826657236546005</c:v>
                      </c:pt>
                      <c:pt idx="355">
                        <c:v>34.616906237636819</c:v>
                      </c:pt>
                      <c:pt idx="356">
                        <c:v>36.00643690492155</c:v>
                      </c:pt>
                      <c:pt idx="357">
                        <c:v>29.319371727748692</c:v>
                      </c:pt>
                      <c:pt idx="358">
                        <c:v>36.989998412446418</c:v>
                      </c:pt>
                      <c:pt idx="359">
                        <c:v>32.238766285562356</c:v>
                      </c:pt>
                      <c:pt idx="360">
                        <c:v>26.729275781108903</c:v>
                      </c:pt>
                      <c:pt idx="361">
                        <c:v>33.062880324543613</c:v>
                      </c:pt>
                      <c:pt idx="362">
                        <c:v>34.213767620090323</c:v>
                      </c:pt>
                      <c:pt idx="363">
                        <c:v>32.699892434564354</c:v>
                      </c:pt>
                      <c:pt idx="364">
                        <c:v>41.607798813224072</c:v>
                      </c:pt>
                      <c:pt idx="365">
                        <c:v>34.305894223492814</c:v>
                      </c:pt>
                      <c:pt idx="366">
                        <c:v>33.297957017776596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BB4-42B4-ACBD-65D3F3855168}"/>
                  </c:ext>
                </c:extLst>
              </c15:ser>
            </c15:filteredScatterSeries>
          </c:ext>
        </c:extLst>
      </c:scatterChart>
      <c:valAx>
        <c:axId val="818489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489152"/>
        <c:crosses val="autoZero"/>
        <c:crossBetween val="midCat"/>
      </c:valAx>
      <c:valAx>
        <c:axId val="8184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8489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 liczba osób nietrzeźwych w weeknd vs dni robocze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WykresyKPI!$K$37</c:f>
              <c:strCache>
                <c:ptCount val="1"/>
                <c:pt idx="0">
                  <c:v>Średnia nietrzeźwych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WykresyKPI!$J$38:$J$39</c:f>
              <c:strCache>
                <c:ptCount val="2"/>
                <c:pt idx="0">
                  <c:v>Weekend</c:v>
                </c:pt>
                <c:pt idx="1">
                  <c:v>Dni robocze</c:v>
                </c:pt>
              </c:strCache>
            </c:strRef>
          </c:cat>
          <c:val>
            <c:numRef>
              <c:f>WykresyKPI!$K$38:$K$39</c:f>
              <c:numCache>
                <c:formatCode>0</c:formatCode>
                <c:ptCount val="2"/>
                <c:pt idx="0">
                  <c:v>293.41509433962267</c:v>
                </c:pt>
                <c:pt idx="1">
                  <c:v>249.44061302681993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D-46BC-94FB-58AABA15E5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3520120"/>
        <c:axId val="503517600"/>
      </c:barChart>
      <c:catAx>
        <c:axId val="503520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pl-PL">
                    <a:solidFill>
                      <a:schemeClr val="tx1"/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</a:rPr>
                  <a:t>Czy weekend?</a:t>
                </a:r>
              </a:p>
            </c:rich>
          </c:tx>
          <c:overlay val="0"/>
          <c:spPr>
            <a:noFill/>
            <a:ln>
              <a:solidFill>
                <a:schemeClr val="bg1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3517600"/>
        <c:crosses val="autoZero"/>
        <c:auto val="1"/>
        <c:lblAlgn val="ctr"/>
        <c:lblOffset val="100"/>
        <c:noMultiLvlLbl val="0"/>
      </c:catAx>
      <c:valAx>
        <c:axId val="5035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352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[Projekt 2 Natalia Mazuch.xlsx]WykresyKPI!Tabela przestawna5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Ranking dni wg liczby wypadków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WykresyKPI!$E$19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WykresyKPI!$D$20:$D$27</c:f>
              <c:strCache>
                <c:ptCount val="7"/>
                <c:pt idx="0">
                  <c:v>niedziela</c:v>
                </c:pt>
                <c:pt idx="1">
                  <c:v>sobota</c:v>
                </c:pt>
                <c:pt idx="2">
                  <c:v>wtorek</c:v>
                </c:pt>
                <c:pt idx="3">
                  <c:v>środa</c:v>
                </c:pt>
                <c:pt idx="4">
                  <c:v>poniedziałek</c:v>
                </c:pt>
                <c:pt idx="5">
                  <c:v>czwartek</c:v>
                </c:pt>
                <c:pt idx="6">
                  <c:v>piątek</c:v>
                </c:pt>
              </c:strCache>
            </c:strRef>
          </c:cat>
          <c:val>
            <c:numRef>
              <c:f>WykresyKPI!$E$20:$E$27</c:f>
              <c:numCache>
                <c:formatCode>0</c:formatCode>
                <c:ptCount val="7"/>
                <c:pt idx="0">
                  <c:v>46.943396226415096</c:v>
                </c:pt>
                <c:pt idx="1">
                  <c:v>54.735849056603776</c:v>
                </c:pt>
                <c:pt idx="2">
                  <c:v>55.403846153846153</c:v>
                </c:pt>
                <c:pt idx="3">
                  <c:v>58.28846153846154</c:v>
                </c:pt>
                <c:pt idx="4">
                  <c:v>59.962264150943398</c:v>
                </c:pt>
                <c:pt idx="5">
                  <c:v>61.365384615384613</c:v>
                </c:pt>
                <c:pt idx="6">
                  <c:v>64.884615384615387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A-4319-B51D-5FC70D39F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3209448"/>
        <c:axId val="873205848"/>
      </c:barChart>
      <c:catAx>
        <c:axId val="873209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05848"/>
        <c:crosses val="autoZero"/>
        <c:auto val="1"/>
        <c:lblAlgn val="ctr"/>
        <c:lblOffset val="100"/>
        <c:noMultiLvlLbl val="0"/>
      </c:catAx>
      <c:valAx>
        <c:axId val="87320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320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Rozkład liczby nietrzeźwych kierowców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pl-PL" sz="900" b="0" i="0" u="none" strike="noStrike" kern="1200" baseline="0" dirty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r>
            <a:rPr lang="pl-PL" sz="1200" b="1" i="0" u="none" strike="noStrike" kern="1200" baseline="0" dirty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Rozkład liczby nietrzeźwych kierowców</a:t>
          </a:r>
        </a:p>
      </cx:txPr>
    </cx:title>
    <cx:plotArea>
      <cx:plotAreaRegion>
        <cx:series layoutId="clusteredColumn" uniqueId="{EB92D9FC-427D-4E9F-A9D3-56E3A0D2D38A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2">
                        <a:lumMod val="25000"/>
                      </a:schemeClr>
                    </a:solidFill>
                  </a:defRPr>
                </a:pPr>
                <a:endParaRPr lang="pl-PL" sz="900" b="0" i="0" u="none" strike="noStrike" baseline="0">
                  <a:solidFill>
                    <a:schemeClr val="bg2">
                      <a:lumMod val="25000"/>
                    </a:scheme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pl-PL" sz="900" b="0" i="0" u="none" strike="noStrike" kern="1200" baseline="0" dirty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 sz="900" b="0" i="0" u="none" strike="noStrike" kern="1200" baseline="0" dirty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pl-PL" sz="900" b="0" i="0" u="none" strike="noStrike" kern="1200" baseline="0" dirty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l-PL" sz="900" b="0" i="0" u="none" strike="noStrike" kern="1200" baseline="0" dirty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solidFill>
      <a:schemeClr val="bg2">
        <a:lumMod val="75000"/>
      </a:schemeClr>
    </a:solidFill>
    <a:ln>
      <a:solidFill>
        <a:schemeClr val="tx1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Rozkład liczby nietrzeźwych kierowców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Rozkład liczby nietrzeźwych kierowców</a:t>
          </a:r>
        </a:p>
      </cx:txPr>
    </cx:title>
    <cx:plotArea>
      <cx:plotAreaRegion>
        <cx:series layoutId="clusteredColumn" uniqueId="{EB92D9FC-427D-4E9F-A9D3-56E3A0D2D38A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pl-PL" sz="900" b="0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pl-PL" sz="900" b="0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microsoft.com/office/2014/relationships/chartEx" Target="../charts/chartEx2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100965</xdr:colOff>
      <xdr:row>16</xdr:row>
      <xdr:rowOff>137159</xdr:rowOff>
    </xdr:from>
    <xdr:to>
      <xdr:col>9</xdr:col>
      <xdr:colOff>542925</xdr:colOff>
      <xdr:row>27</xdr:row>
      <xdr:rowOff>60959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811AC76A-DF17-4946-A1BD-BAE630A66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99059</xdr:colOff>
      <xdr:row>28</xdr:row>
      <xdr:rowOff>24765</xdr:rowOff>
    </xdr:from>
    <xdr:to>
      <xdr:col>9</xdr:col>
      <xdr:colOff>571500</xdr:colOff>
      <xdr:row>38</xdr:row>
      <xdr:rowOff>57151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2BBA2DA8-73CE-4AC8-AA2D-28E2E4F2C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501015</xdr:colOff>
      <xdr:row>3</xdr:row>
      <xdr:rowOff>148591</xdr:rowOff>
    </xdr:from>
    <xdr:to>
      <xdr:col>15</xdr:col>
      <xdr:colOff>453390</xdr:colOff>
      <xdr:row>15</xdr:row>
      <xdr:rowOff>160019</xdr:rowOff>
    </xdr:to>
    <xdr:graphicFrame macro="">
      <xdr:nvGraphicFramePr>
        <xdr:cNvPr id="18" name="Wykres 5">
          <a:extLst>
            <a:ext uri="{FF2B5EF4-FFF2-40B4-BE49-F238E27FC236}">
              <a16:creationId xmlns:a16="http://schemas.microsoft.com/office/drawing/2014/main" id="{0D5BBE34-7919-4B1D-9B01-2FB3F3D50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83821</xdr:colOff>
      <xdr:row>3</xdr:row>
      <xdr:rowOff>152401</xdr:rowOff>
    </xdr:from>
    <xdr:to>
      <xdr:col>10</xdr:col>
      <xdr:colOff>468630</xdr:colOff>
      <xdr:row>15</xdr:row>
      <xdr:rowOff>167641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Wykres 20">
              <a:extLst>
                <a:ext uri="{FF2B5EF4-FFF2-40B4-BE49-F238E27FC236}">
                  <a16:creationId xmlns:a16="http://schemas.microsoft.com/office/drawing/2014/main" id="{429904BE-9E4C-4D1B-AF45-3DE797AF93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1821" y="746761"/>
              <a:ext cx="3432809" cy="2240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15</xdr:col>
      <xdr:colOff>521969</xdr:colOff>
      <xdr:row>3</xdr:row>
      <xdr:rowOff>144780</xdr:rowOff>
    </xdr:from>
    <xdr:to>
      <xdr:col>22</xdr:col>
      <xdr:colOff>125730</xdr:colOff>
      <xdr:row>15</xdr:row>
      <xdr:rowOff>154305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BC5C6350-2014-49DD-89AE-DC5243771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17</xdr:row>
      <xdr:rowOff>58102</xdr:rowOff>
    </xdr:from>
    <xdr:to>
      <xdr:col>2</xdr:col>
      <xdr:colOff>2297430</xdr:colOff>
      <xdr:row>32</xdr:row>
      <xdr:rowOff>75247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4076E1C7-E469-266A-B54B-F4E363F1C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" y="3167062"/>
              <a:ext cx="4575810" cy="2813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9</xdr:col>
      <xdr:colOff>15240</xdr:colOff>
      <xdr:row>17</xdr:row>
      <xdr:rowOff>50482</xdr:rowOff>
    </xdr:from>
    <xdr:to>
      <xdr:col>11</xdr:col>
      <xdr:colOff>1682115</xdr:colOff>
      <xdr:row>32</xdr:row>
      <xdr:rowOff>10477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A4AFF750-6E62-759A-BCE8-2B5238916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2333625</xdr:colOff>
      <xdr:row>39</xdr:row>
      <xdr:rowOff>137159</xdr:rowOff>
    </xdr:from>
    <xdr:to>
      <xdr:col>7</xdr:col>
      <xdr:colOff>163830</xdr:colOff>
      <xdr:row>52</xdr:row>
      <xdr:rowOff>155256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0275733A-1D9D-53C0-EA3B-3541B579E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2512695</xdr:colOff>
      <xdr:row>274</xdr:row>
      <xdr:rowOff>136207</xdr:rowOff>
    </xdr:from>
    <xdr:to>
      <xdr:col>7</xdr:col>
      <xdr:colOff>1106805</xdr:colOff>
      <xdr:row>289</xdr:row>
      <xdr:rowOff>162877</xdr:rowOff>
    </xdr:to>
    <xdr:graphicFrame macro="">
      <xdr:nvGraphicFramePr>
        <xdr:cNvPr id="9" name="Wykres 4">
          <a:extLst>
            <a:ext uri="{FF2B5EF4-FFF2-40B4-BE49-F238E27FC236}">
              <a16:creationId xmlns:a16="http://schemas.microsoft.com/office/drawing/2014/main" id="{6066C740-0BA1-2C94-19E3-5D28A563F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377213</xdr:colOff>
      <xdr:row>18</xdr:row>
      <xdr:rowOff>141376</xdr:rowOff>
    </xdr:from>
    <xdr:to>
      <xdr:col>17</xdr:col>
      <xdr:colOff>506586</xdr:colOff>
      <xdr:row>33</xdr:row>
      <xdr:rowOff>39515</xdr:rowOff>
    </xdr:to>
    <xdr:graphicFrame macro="">
      <xdr:nvGraphicFramePr>
        <xdr:cNvPr id="10" name="Wykres 5">
          <a:extLst>
            <a:ext uri="{FF2B5EF4-FFF2-40B4-BE49-F238E27FC236}">
              <a16:creationId xmlns:a16="http://schemas.microsoft.com/office/drawing/2014/main" id="{E9DB9791-28DE-48E0-35BF-A25A187DE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240846</xdr:colOff>
      <xdr:row>39</xdr:row>
      <xdr:rowOff>126273</xdr:rowOff>
    </xdr:from>
    <xdr:to>
      <xdr:col>11</xdr:col>
      <xdr:colOff>596809</xdr:colOff>
      <xdr:row>55</xdr:row>
      <xdr:rowOff>27214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4AA995FD-8648-78CD-61F0-18C954809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443319</xdr:colOff>
      <xdr:row>2</xdr:row>
      <xdr:rowOff>15513</xdr:rowOff>
    </xdr:from>
    <xdr:to>
      <xdr:col>20</xdr:col>
      <xdr:colOff>130083</xdr:colOff>
      <xdr:row>17</xdr:row>
      <xdr:rowOff>107225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D2F66D8F-3515-9940-66E3-ACD7C8FE1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46.537905671299" createdVersion="8" refreshedVersion="8" minRefreshableVersion="3" recordCount="367" xr:uid="{CB997639-7A5E-4F59-A26C-589EE89315FC}">
  <cacheSource type="worksheet">
    <worksheetSource name="Tabela1"/>
  </cacheSource>
  <cacheFields count="14">
    <cacheField name="Data" numFmtId="14">
      <sharedItems containsSemiMixedTypes="0" containsNonDate="0" containsDate="1" containsString="0" minDate="2024-12-07T00:00:00" maxDate="2025-12-09T00:00:00"/>
    </cacheField>
    <cacheField name="Miesiąc" numFmtId="14">
      <sharedItems count="12">
        <s v="grudzień"/>
        <s v="listopad"/>
        <s v="październik"/>
        <s v="wrzesień"/>
        <s v="sierpień"/>
        <s v="lipiec"/>
        <s v="czerwiec"/>
        <s v="maj"/>
        <s v="kwiecień"/>
        <s v="marzec"/>
        <s v="luty"/>
        <s v="styczeń"/>
      </sharedItems>
    </cacheField>
    <cacheField name="Dzien tygodnia" numFmtId="14">
      <sharedItems count="7">
        <s v="poniedziałek"/>
        <s v="niedziela"/>
        <s v="sobota"/>
        <s v="piątek"/>
        <s v="czwartek"/>
        <s v="środa"/>
        <s v="wtorek"/>
      </sharedItems>
    </cacheField>
    <cacheField name="Nr tygodnia" numFmtId="0">
      <sharedItems containsSemiMixedTypes="0" containsString="0" containsNumber="1" containsInteger="1" minValue="1" maxValue="53"/>
    </cacheField>
    <cacheField name="Czy weekend" numFmtId="0">
      <sharedItems count="2">
        <s v="NIE"/>
        <s v="TAK"/>
      </sharedItems>
    </cacheField>
    <cacheField name="Śmiertelnosc" numFmtId="10">
      <sharedItems containsSemiMixedTypes="0" containsString="0" containsNumber="1" minValue="0" maxValue="0.25"/>
    </cacheField>
    <cacheField name="Zatrzymani na 1k interwencji" numFmtId="2">
      <sharedItems containsSemiMixedTypes="0" containsString="0" containsNumber="1" minValue="24.474049068659955" maxValue="48.836032388663973"/>
    </cacheField>
    <cacheField name="Interwencje" numFmtId="0">
      <sharedItems containsSemiMixedTypes="0" containsString="0" containsNumber="1" containsInteger="1" minValue="9777" maxValue="21130"/>
    </cacheField>
    <cacheField name="Zatrzymani na gorącym uczynku" numFmtId="0">
      <sharedItems containsSemiMixedTypes="0" containsString="0" containsNumber="1" containsInteger="1" minValue="332" maxValue="816"/>
    </cacheField>
    <cacheField name="Zatrzymani poszukiwani" numFmtId="0">
      <sharedItems containsSemiMixedTypes="0" containsString="0" containsNumber="1" containsInteger="1" minValue="162" maxValue="1042"/>
    </cacheField>
    <cacheField name="Kierujący po spożyciu alkoholu" numFmtId="0">
      <sharedItems containsSemiMixedTypes="0" containsString="0" containsNumber="1" containsInteger="1" minValue="122" maxValue="675"/>
    </cacheField>
    <cacheField name="Wypadki drogowe" numFmtId="0">
      <sharedItems containsSemiMixedTypes="0" containsString="0" containsNumber="1" containsInteger="1" minValue="16" maxValue="111"/>
    </cacheField>
    <cacheField name="Zabici w wypadkach" numFmtId="0">
      <sharedItems containsSemiMixedTypes="0" containsString="0" containsNumber="1" containsInteger="1" minValue="0" maxValue="21"/>
    </cacheField>
    <cacheField name="Ranni w wypadkach" numFmtId="0">
      <sharedItems containsSemiMixedTypes="0" containsString="0" containsNumber="1" containsInteger="1" minValue="15" maxValue="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d v="2025-12-08T00:00:00"/>
    <x v="0"/>
    <x v="0"/>
    <n v="50"/>
    <x v="0"/>
    <n v="0.12962962962962962"/>
    <n v="31.659993840468122"/>
    <n v="16235"/>
    <n v="514"/>
    <n v="380"/>
    <n v="277"/>
    <n v="54"/>
    <n v="7"/>
    <n v="57"/>
  </r>
  <r>
    <d v="2025-12-07T00:00:00"/>
    <x v="0"/>
    <x v="1"/>
    <n v="49"/>
    <x v="1"/>
    <n v="3.7037037037037035E-2"/>
    <n v="35.918538150369649"/>
    <n v="14338"/>
    <n v="515"/>
    <n v="231"/>
    <n v="222"/>
    <n v="27"/>
    <n v="1"/>
    <n v="37"/>
  </r>
  <r>
    <d v="2025-12-06T00:00:00"/>
    <x v="0"/>
    <x v="2"/>
    <n v="49"/>
    <x v="1"/>
    <n v="0.10714285714285714"/>
    <n v="30.783973168832723"/>
    <n v="16697"/>
    <n v="514"/>
    <n v="251"/>
    <n v="246"/>
    <n v="56"/>
    <n v="6"/>
    <n v="58"/>
  </r>
  <r>
    <d v="2025-12-05T00:00:00"/>
    <x v="0"/>
    <x v="3"/>
    <n v="49"/>
    <x v="0"/>
    <n v="3.7499999999999999E-2"/>
    <n v="26.219581857648805"/>
    <n v="17506"/>
    <n v="459"/>
    <n v="383"/>
    <n v="189"/>
    <n v="80"/>
    <n v="3"/>
    <n v="86"/>
  </r>
  <r>
    <d v="2025-12-04T00:00:00"/>
    <x v="0"/>
    <x v="4"/>
    <n v="49"/>
    <x v="0"/>
    <n v="7.407407407407407E-2"/>
    <n v="30.448515476942514"/>
    <n v="15830"/>
    <n v="482"/>
    <n v="391"/>
    <n v="184"/>
    <n v="54"/>
    <n v="4"/>
    <n v="65"/>
  </r>
  <r>
    <d v="2025-12-03T00:00:00"/>
    <x v="0"/>
    <x v="5"/>
    <n v="49"/>
    <x v="0"/>
    <n v="3.9215686274509803E-2"/>
    <n v="27.169763298549253"/>
    <n v="15716"/>
    <n v="427"/>
    <n v="456"/>
    <n v="141"/>
    <n v="51"/>
    <n v="2"/>
    <n v="58"/>
  </r>
  <r>
    <d v="2025-12-02T00:00:00"/>
    <x v="0"/>
    <x v="6"/>
    <n v="49"/>
    <x v="0"/>
    <n v="8.1081081081081086E-2"/>
    <n v="28.905488795063331"/>
    <n v="15395"/>
    <n v="445"/>
    <n v="410"/>
    <n v="131"/>
    <n v="37"/>
    <n v="3"/>
    <n v="42"/>
  </r>
  <r>
    <d v="2025-12-01T00:00:00"/>
    <x v="0"/>
    <x v="0"/>
    <n v="49"/>
    <x v="0"/>
    <n v="9.0909090909090912E-2"/>
    <n v="44.41994682575708"/>
    <n v="15421"/>
    <n v="685"/>
    <n v="368"/>
    <n v="434"/>
    <n v="55"/>
    <n v="5"/>
    <n v="65"/>
  </r>
  <r>
    <d v="2025-11-30T00:00:00"/>
    <x v="1"/>
    <x v="1"/>
    <n v="48"/>
    <x v="1"/>
    <n v="3.2258064516129031E-2"/>
    <n v="38.693723179867625"/>
    <n v="13749"/>
    <n v="532"/>
    <n v="195"/>
    <n v="281"/>
    <n v="31"/>
    <n v="1"/>
    <n v="43"/>
  </r>
  <r>
    <d v="2025-11-29T00:00:00"/>
    <x v="1"/>
    <x v="2"/>
    <n v="48"/>
    <x v="1"/>
    <n v="0.11764705882352941"/>
    <n v="34.246575342465754"/>
    <n v="15768"/>
    <n v="540"/>
    <n v="226"/>
    <n v="281"/>
    <n v="34"/>
    <n v="4"/>
    <n v="44"/>
  </r>
  <r>
    <d v="2025-11-28T00:00:00"/>
    <x v="1"/>
    <x v="3"/>
    <n v="48"/>
    <x v="0"/>
    <n v="4.1666666666666664E-2"/>
    <n v="24.474049068659955"/>
    <n v="16589"/>
    <n v="406"/>
    <n v="336"/>
    <n v="149"/>
    <n v="48"/>
    <n v="2"/>
    <n v="53"/>
  </r>
  <r>
    <d v="2025-11-27T00:00:00"/>
    <x v="1"/>
    <x v="4"/>
    <n v="48"/>
    <x v="0"/>
    <n v="0.10416666666666667"/>
    <n v="25.664754148929607"/>
    <n v="16209"/>
    <n v="416"/>
    <n v="389"/>
    <n v="138"/>
    <n v="48"/>
    <n v="5"/>
    <n v="50"/>
  </r>
  <r>
    <d v="2025-11-26T00:00:00"/>
    <x v="1"/>
    <x v="5"/>
    <n v="48"/>
    <x v="0"/>
    <n v="1.6129032258064516E-2"/>
    <n v="26.532715095311694"/>
    <n v="15528"/>
    <n v="412"/>
    <n v="375"/>
    <n v="122"/>
    <n v="62"/>
    <n v="1"/>
    <n v="73"/>
  </r>
  <r>
    <d v="2025-11-25T00:00:00"/>
    <x v="1"/>
    <x v="6"/>
    <n v="48"/>
    <x v="0"/>
    <n v="0.15909090909090909"/>
    <n v="26.867030965391621"/>
    <n v="15372"/>
    <n v="413"/>
    <n v="339"/>
    <n v="139"/>
    <n v="44"/>
    <n v="7"/>
    <n v="58"/>
  </r>
  <r>
    <d v="2025-11-24T00:00:00"/>
    <x v="1"/>
    <x v="0"/>
    <n v="48"/>
    <x v="0"/>
    <n v="0.1111111111111111"/>
    <n v="29.710192983619603"/>
    <n v="15079"/>
    <n v="448"/>
    <n v="291"/>
    <n v="202"/>
    <n v="45"/>
    <n v="5"/>
    <n v="55"/>
  </r>
  <r>
    <d v="2025-11-23T00:00:00"/>
    <x v="1"/>
    <x v="1"/>
    <n v="47"/>
    <x v="1"/>
    <n v="7.1428571428571425E-2"/>
    <n v="29.672747923617518"/>
    <n v="14087"/>
    <n v="418"/>
    <n v="190"/>
    <n v="224"/>
    <n v="42"/>
    <n v="3"/>
    <n v="60"/>
  </r>
  <r>
    <d v="2025-11-22T00:00:00"/>
    <x v="1"/>
    <x v="2"/>
    <n v="47"/>
    <x v="1"/>
    <n v="5.8823529411764705E-2"/>
    <n v="28.295544826743264"/>
    <n v="16363"/>
    <n v="463"/>
    <n v="189"/>
    <n v="224"/>
    <n v="34"/>
    <n v="2"/>
    <n v="42"/>
  </r>
  <r>
    <d v="2025-11-21T00:00:00"/>
    <x v="1"/>
    <x v="3"/>
    <n v="47"/>
    <x v="0"/>
    <n v="2.1739130434782608E-2"/>
    <n v="24.5930644019816"/>
    <n v="16956"/>
    <n v="417"/>
    <n v="329"/>
    <n v="188"/>
    <n v="46"/>
    <n v="1"/>
    <n v="48"/>
  </r>
  <r>
    <d v="2025-11-20T00:00:00"/>
    <x v="1"/>
    <x v="4"/>
    <n v="47"/>
    <x v="0"/>
    <n v="5.6603773584905662E-2"/>
    <n v="30.40230638186345"/>
    <n v="15262"/>
    <n v="464"/>
    <n v="346"/>
    <n v="167"/>
    <n v="53"/>
    <n v="3"/>
    <n v="65"/>
  </r>
  <r>
    <d v="2025-11-19T00:00:00"/>
    <x v="1"/>
    <x v="5"/>
    <n v="47"/>
    <x v="0"/>
    <n v="4.1666666666666664E-2"/>
    <n v="29.947916666666668"/>
    <n v="15360"/>
    <n v="460"/>
    <n v="324"/>
    <n v="140"/>
    <n v="48"/>
    <n v="2"/>
    <n v="54"/>
  </r>
  <r>
    <d v="2025-11-18T00:00:00"/>
    <x v="1"/>
    <x v="6"/>
    <n v="47"/>
    <x v="0"/>
    <n v="4.9180327868852458E-2"/>
    <n v="31.579620277440387"/>
    <n v="15643"/>
    <n v="494"/>
    <n v="921"/>
    <n v="179"/>
    <n v="61"/>
    <n v="3"/>
    <n v="80"/>
  </r>
  <r>
    <d v="2025-11-17T00:00:00"/>
    <x v="1"/>
    <x v="0"/>
    <n v="47"/>
    <x v="0"/>
    <n v="7.2289156626506021E-2"/>
    <n v="31.287302883709241"/>
    <n v="15917"/>
    <n v="498"/>
    <n v="1042"/>
    <n v="238"/>
    <n v="83"/>
    <n v="6"/>
    <n v="92"/>
  </r>
  <r>
    <d v="2025-11-16T00:00:00"/>
    <x v="1"/>
    <x v="1"/>
    <n v="46"/>
    <x v="1"/>
    <n v="0.2"/>
    <n v="37.866666666666667"/>
    <n v="13125"/>
    <n v="497"/>
    <n v="214"/>
    <n v="239"/>
    <n v="40"/>
    <n v="8"/>
    <n v="48"/>
  </r>
  <r>
    <d v="2025-11-15T00:00:00"/>
    <x v="1"/>
    <x v="2"/>
    <n v="46"/>
    <x v="1"/>
    <n v="0.05"/>
    <n v="32.899628252788105"/>
    <n v="16140"/>
    <n v="531"/>
    <n v="215"/>
    <n v="262"/>
    <n v="60"/>
    <n v="3"/>
    <n v="79"/>
  </r>
  <r>
    <d v="2025-11-14T00:00:00"/>
    <x v="1"/>
    <x v="3"/>
    <n v="46"/>
    <x v="0"/>
    <n v="1.6393442622950821E-2"/>
    <n v="29.508786661068797"/>
    <n v="16673"/>
    <n v="492"/>
    <n v="329"/>
    <n v="199"/>
    <n v="61"/>
    <n v="1"/>
    <n v="74"/>
  </r>
  <r>
    <d v="2025-11-13T00:00:00"/>
    <x v="1"/>
    <x v="4"/>
    <n v="46"/>
    <x v="0"/>
    <n v="0.10416666666666667"/>
    <n v="33.363507047717576"/>
    <n v="15466"/>
    <n v="516"/>
    <n v="359"/>
    <n v="230"/>
    <n v="48"/>
    <n v="5"/>
    <n v="56"/>
  </r>
  <r>
    <d v="2025-11-12T00:00:00"/>
    <x v="1"/>
    <x v="5"/>
    <n v="46"/>
    <x v="0"/>
    <n v="6.6666666666666666E-2"/>
    <n v="40.193642907191538"/>
    <n v="15699"/>
    <n v="631"/>
    <n v="312"/>
    <n v="407"/>
    <n v="45"/>
    <n v="3"/>
    <n v="53"/>
  </r>
  <r>
    <d v="2025-11-11T00:00:00"/>
    <x v="1"/>
    <x v="6"/>
    <n v="46"/>
    <x v="0"/>
    <n v="5.2631578947368418E-2"/>
    <n v="44.688418122777179"/>
    <n v="12934"/>
    <n v="578"/>
    <n v="274"/>
    <n v="319"/>
    <n v="38"/>
    <n v="2"/>
    <n v="50"/>
  </r>
  <r>
    <d v="2025-11-10T00:00:00"/>
    <x v="1"/>
    <x v="0"/>
    <n v="46"/>
    <x v="0"/>
    <n v="3.5087719298245612E-2"/>
    <n v="32.833425908782324"/>
    <n v="16203"/>
    <n v="532"/>
    <n v="298"/>
    <n v="263"/>
    <n v="57"/>
    <n v="2"/>
    <n v="75"/>
  </r>
  <r>
    <d v="2025-11-09T00:00:00"/>
    <x v="1"/>
    <x v="1"/>
    <n v="45"/>
    <x v="1"/>
    <n v="0.14583333333333334"/>
    <n v="42.526440352044965"/>
    <n v="13521"/>
    <n v="575"/>
    <n v="199"/>
    <n v="284"/>
    <n v="48"/>
    <n v="7"/>
    <n v="58"/>
  </r>
  <r>
    <d v="2025-11-08T00:00:00"/>
    <x v="1"/>
    <x v="2"/>
    <n v="45"/>
    <x v="1"/>
    <n v="4.5454545454545456E-2"/>
    <n v="35.099141757916541"/>
    <n v="16895"/>
    <n v="593"/>
    <n v="234"/>
    <n v="288"/>
    <n v="44"/>
    <n v="2"/>
    <n v="59"/>
  </r>
  <r>
    <d v="2025-11-07T00:00:00"/>
    <x v="1"/>
    <x v="3"/>
    <n v="45"/>
    <x v="0"/>
    <n v="0.11475409836065574"/>
    <n v="30.346901275126676"/>
    <n v="17959"/>
    <n v="545"/>
    <n v="427"/>
    <n v="246"/>
    <n v="61"/>
    <n v="7"/>
    <n v="61"/>
  </r>
  <r>
    <d v="2025-11-06T00:00:00"/>
    <x v="1"/>
    <x v="4"/>
    <n v="45"/>
    <x v="0"/>
    <n v="8.1967213114754092E-2"/>
    <n v="34.655010927255695"/>
    <n v="16015"/>
    <n v="555"/>
    <n v="414"/>
    <n v="248"/>
    <n v="61"/>
    <n v="5"/>
    <n v="63"/>
  </r>
  <r>
    <d v="2025-11-05T00:00:00"/>
    <x v="1"/>
    <x v="5"/>
    <n v="45"/>
    <x v="0"/>
    <n v="1.6129032258064516E-2"/>
    <n v="33.649644150330879"/>
    <n v="16018"/>
    <n v="539"/>
    <n v="416"/>
    <n v="226"/>
    <n v="62"/>
    <n v="1"/>
    <n v="70"/>
  </r>
  <r>
    <d v="2025-11-04T00:00:00"/>
    <x v="1"/>
    <x v="6"/>
    <n v="45"/>
    <x v="0"/>
    <n v="6.1538461538461542E-2"/>
    <n v="30.979162825004611"/>
    <n v="16269"/>
    <n v="504"/>
    <n v="398"/>
    <n v="169"/>
    <n v="65"/>
    <n v="4"/>
    <n v="73"/>
  </r>
  <r>
    <d v="2025-11-03T00:00:00"/>
    <x v="1"/>
    <x v="0"/>
    <n v="45"/>
    <x v="0"/>
    <n v="9.8360655737704916E-2"/>
    <n v="41.56367893846754"/>
    <n v="15374"/>
    <n v="639"/>
    <n v="330"/>
    <n v="397"/>
    <n v="61"/>
    <n v="6"/>
    <n v="69"/>
  </r>
  <r>
    <d v="2025-11-02T00:00:00"/>
    <x v="1"/>
    <x v="1"/>
    <n v="44"/>
    <x v="1"/>
    <n v="8.3333333333333329E-2"/>
    <n v="40.364679067715613"/>
    <n v="13601"/>
    <n v="549"/>
    <n v="245"/>
    <n v="327"/>
    <n v="36"/>
    <n v="3"/>
    <n v="46"/>
  </r>
  <r>
    <d v="2025-11-01T00:00:00"/>
    <x v="1"/>
    <x v="2"/>
    <n v="44"/>
    <x v="1"/>
    <n v="3.7037037037037035E-2"/>
    <n v="34.59493274945261"/>
    <n v="15985"/>
    <n v="553"/>
    <n v="265"/>
    <n v="290"/>
    <n v="54"/>
    <n v="2"/>
    <n v="79"/>
  </r>
  <r>
    <d v="2025-10-31T00:00:00"/>
    <x v="2"/>
    <x v="3"/>
    <n v="44"/>
    <x v="0"/>
    <n v="4.3478260869565216E-2"/>
    <n v="27.401798390913392"/>
    <n v="21130"/>
    <n v="579"/>
    <n v="411"/>
    <n v="228"/>
    <n v="92"/>
    <n v="4"/>
    <n v="105"/>
  </r>
  <r>
    <d v="2025-10-30T00:00:00"/>
    <x v="2"/>
    <x v="4"/>
    <n v="44"/>
    <x v="0"/>
    <n v="0.10256410256410256"/>
    <n v="30.872876391329818"/>
    <n v="17070"/>
    <n v="527"/>
    <n v="438"/>
    <n v="210"/>
    <n v="78"/>
    <n v="8"/>
    <n v="94"/>
  </r>
  <r>
    <d v="2025-10-29T00:00:00"/>
    <x v="2"/>
    <x v="5"/>
    <n v="44"/>
    <x v="0"/>
    <n v="7.6923076923076927E-2"/>
    <n v="33.947623666343361"/>
    <n v="16496"/>
    <n v="560"/>
    <n v="543"/>
    <n v="195"/>
    <n v="78"/>
    <n v="6"/>
    <n v="84"/>
  </r>
  <r>
    <d v="2025-10-28T00:00:00"/>
    <x v="2"/>
    <x v="6"/>
    <n v="44"/>
    <x v="0"/>
    <n v="4.1666666666666664E-2"/>
    <n v="29.080496341075406"/>
    <n v="15715"/>
    <n v="457"/>
    <n v="528"/>
    <n v="161"/>
    <n v="72"/>
    <n v="3"/>
    <n v="81"/>
  </r>
  <r>
    <d v="2025-10-27T00:00:00"/>
    <x v="2"/>
    <x v="0"/>
    <n v="44"/>
    <x v="0"/>
    <n v="8.6206896551724144E-2"/>
    <n v="36.511539916761251"/>
    <n v="15858"/>
    <n v="579"/>
    <n v="416"/>
    <n v="238"/>
    <n v="58"/>
    <n v="5"/>
    <n v="63"/>
  </r>
  <r>
    <d v="2025-10-26T00:00:00"/>
    <x v="2"/>
    <x v="1"/>
    <n v="43"/>
    <x v="1"/>
    <n v="0.10869565217391304"/>
    <n v="35.198490456491761"/>
    <n v="13779"/>
    <n v="485"/>
    <n v="197"/>
    <n v="254"/>
    <n v="46"/>
    <n v="5"/>
    <n v="56"/>
  </r>
  <r>
    <d v="2025-10-25T00:00:00"/>
    <x v="2"/>
    <x v="2"/>
    <n v="43"/>
    <x v="1"/>
    <n v="0.12962962962962962"/>
    <n v="34.349532146091157"/>
    <n v="16565"/>
    <n v="569"/>
    <n v="223"/>
    <n v="252"/>
    <n v="54"/>
    <n v="7"/>
    <n v="61"/>
  </r>
  <r>
    <d v="2025-10-24T00:00:00"/>
    <x v="2"/>
    <x v="3"/>
    <n v="43"/>
    <x v="0"/>
    <n v="6.4935064935064929E-2"/>
    <n v="33.180103724658181"/>
    <n v="16968"/>
    <n v="563"/>
    <n v="430"/>
    <n v="252"/>
    <n v="77"/>
    <n v="5"/>
    <n v="94"/>
  </r>
  <r>
    <d v="2025-10-23T00:00:00"/>
    <x v="2"/>
    <x v="4"/>
    <n v="43"/>
    <x v="0"/>
    <n v="5.0632911392405063E-2"/>
    <n v="37.384854647685131"/>
    <n v="16718"/>
    <n v="625"/>
    <n v="496"/>
    <n v="249"/>
    <n v="79"/>
    <n v="4"/>
    <n v="85"/>
  </r>
  <r>
    <d v="2025-10-22T00:00:00"/>
    <x v="2"/>
    <x v="5"/>
    <n v="43"/>
    <x v="0"/>
    <n v="4.9180327868852458E-2"/>
    <n v="33.143705169428642"/>
    <n v="16172"/>
    <n v="536"/>
    <n v="479"/>
    <n v="202"/>
    <n v="61"/>
    <n v="3"/>
    <n v="69"/>
  </r>
  <r>
    <d v="2025-10-21T00:00:00"/>
    <x v="2"/>
    <x v="6"/>
    <n v="43"/>
    <x v="0"/>
    <n v="9.8591549295774641E-2"/>
    <n v="34.575835475578408"/>
    <n v="15560"/>
    <n v="538"/>
    <n v="455"/>
    <n v="206"/>
    <n v="71"/>
    <n v="7"/>
    <n v="72"/>
  </r>
  <r>
    <d v="2025-10-20T00:00:00"/>
    <x v="2"/>
    <x v="0"/>
    <n v="43"/>
    <x v="0"/>
    <n v="7.5268817204301078E-2"/>
    <n v="38.425492033739452"/>
    <n v="16005"/>
    <n v="615"/>
    <n v="334"/>
    <n v="365"/>
    <n v="93"/>
    <n v="7"/>
    <n v="96"/>
  </r>
  <r>
    <d v="2025-10-19T00:00:00"/>
    <x v="2"/>
    <x v="1"/>
    <n v="42"/>
    <x v="1"/>
    <n v="9.5238095238095233E-2"/>
    <n v="40.386303775241437"/>
    <n v="13668"/>
    <n v="552"/>
    <n v="181"/>
    <n v="325"/>
    <n v="42"/>
    <n v="4"/>
    <n v="46"/>
  </r>
  <r>
    <d v="2025-10-18T00:00:00"/>
    <x v="2"/>
    <x v="2"/>
    <n v="42"/>
    <x v="1"/>
    <n v="7.5471698113207544E-2"/>
    <n v="34.540211470682472"/>
    <n v="15605"/>
    <n v="539"/>
    <n v="237"/>
    <n v="295"/>
    <n v="53"/>
    <n v="4"/>
    <n v="64"/>
  </r>
  <r>
    <d v="2025-10-17T00:00:00"/>
    <x v="2"/>
    <x v="3"/>
    <n v="42"/>
    <x v="0"/>
    <n v="2.2222222222222223E-2"/>
    <n v="35.927104425802717"/>
    <n v="17285"/>
    <n v="621"/>
    <n v="414"/>
    <n v="330"/>
    <n v="45"/>
    <n v="1"/>
    <n v="54"/>
  </r>
  <r>
    <d v="2025-10-16T00:00:00"/>
    <x v="2"/>
    <x v="4"/>
    <n v="42"/>
    <x v="0"/>
    <n v="1.6666666666666666E-2"/>
    <n v="38.261750918535412"/>
    <n v="15786"/>
    <n v="604"/>
    <n v="460"/>
    <n v="247"/>
    <n v="60"/>
    <n v="1"/>
    <n v="74"/>
  </r>
  <r>
    <d v="2025-10-15T00:00:00"/>
    <x v="2"/>
    <x v="5"/>
    <n v="42"/>
    <x v="0"/>
    <n v="6.3492063492063489E-2"/>
    <n v="35.353844271820911"/>
    <n v="16349"/>
    <n v="578"/>
    <n v="482"/>
    <n v="230"/>
    <n v="63"/>
    <n v="4"/>
    <n v="66"/>
  </r>
  <r>
    <d v="2025-10-14T00:00:00"/>
    <x v="2"/>
    <x v="6"/>
    <n v="42"/>
    <x v="0"/>
    <n v="2.1739130434782608E-2"/>
    <n v="35.252723458962045"/>
    <n v="14779"/>
    <n v="521"/>
    <n v="393"/>
    <n v="216"/>
    <n v="46"/>
    <n v="1"/>
    <n v="55"/>
  </r>
  <r>
    <d v="2025-10-13T00:00:00"/>
    <x v="2"/>
    <x v="0"/>
    <n v="42"/>
    <x v="0"/>
    <n v="8.7499999999999994E-2"/>
    <n v="48.836032388663973"/>
    <n v="15808"/>
    <n v="772"/>
    <n v="436"/>
    <n v="518"/>
    <n v="80"/>
    <n v="7"/>
    <n v="85"/>
  </r>
  <r>
    <d v="2025-10-12T00:00:00"/>
    <x v="2"/>
    <x v="1"/>
    <n v="41"/>
    <x v="1"/>
    <n v="6.6666666666666666E-2"/>
    <n v="39.649173673528566"/>
    <n v="13796"/>
    <n v="547"/>
    <n v="240"/>
    <n v="312"/>
    <n v="45"/>
    <n v="3"/>
    <n v="55"/>
  </r>
  <r>
    <d v="2025-10-11T00:00:00"/>
    <x v="2"/>
    <x v="2"/>
    <n v="41"/>
    <x v="1"/>
    <n v="7.407407407407407E-2"/>
    <n v="37.619450828595625"/>
    <n v="16534"/>
    <n v="622"/>
    <n v="271"/>
    <n v="335"/>
    <n v="54"/>
    <n v="4"/>
    <n v="71"/>
  </r>
  <r>
    <d v="2025-10-10T00:00:00"/>
    <x v="2"/>
    <x v="3"/>
    <n v="41"/>
    <x v="0"/>
    <n v="0.11666666666666667"/>
    <n v="34.125220759984046"/>
    <n v="17553"/>
    <n v="599"/>
    <n v="411"/>
    <n v="273"/>
    <n v="60"/>
    <n v="7"/>
    <n v="69"/>
  </r>
  <r>
    <d v="2025-10-09T00:00:00"/>
    <x v="2"/>
    <x v="4"/>
    <n v="41"/>
    <x v="0"/>
    <n v="5.4545454545454543E-2"/>
    <n v="38.023284617290066"/>
    <n v="16148"/>
    <n v="614"/>
    <n v="442"/>
    <n v="276"/>
    <n v="55"/>
    <n v="3"/>
    <n v="61"/>
  </r>
  <r>
    <d v="2025-10-08T00:00:00"/>
    <x v="2"/>
    <x v="5"/>
    <n v="41"/>
    <x v="0"/>
    <n v="5.3571428571428568E-2"/>
    <n v="38.777459407831898"/>
    <n v="15705"/>
    <n v="609"/>
    <n v="440"/>
    <n v="262"/>
    <n v="56"/>
    <n v="3"/>
    <n v="59"/>
  </r>
  <r>
    <d v="2025-10-07T00:00:00"/>
    <x v="2"/>
    <x v="6"/>
    <n v="41"/>
    <x v="0"/>
    <n v="5.2631578947368418E-2"/>
    <n v="35.420910823421174"/>
    <n v="15217"/>
    <n v="539"/>
    <n v="414"/>
    <n v="227"/>
    <n v="57"/>
    <n v="3"/>
    <n v="70"/>
  </r>
  <r>
    <d v="2025-10-06T00:00:00"/>
    <x v="2"/>
    <x v="0"/>
    <n v="41"/>
    <x v="0"/>
    <n v="2.8169014084507043E-2"/>
    <n v="32.655781406197931"/>
    <n v="15005"/>
    <n v="490"/>
    <n v="320"/>
    <n v="255"/>
    <n v="71"/>
    <n v="2"/>
    <n v="77"/>
  </r>
  <r>
    <d v="2025-10-05T00:00:00"/>
    <x v="2"/>
    <x v="1"/>
    <n v="40"/>
    <x v="1"/>
    <n v="0.10638297872340426"/>
    <n v="39.05639743790033"/>
    <n v="12802"/>
    <n v="500"/>
    <n v="197"/>
    <n v="304"/>
    <n v="47"/>
    <n v="5"/>
    <n v="64"/>
  </r>
  <r>
    <d v="2025-10-04T00:00:00"/>
    <x v="2"/>
    <x v="2"/>
    <n v="40"/>
    <x v="1"/>
    <n v="3.9215686274509803E-2"/>
    <n v="35.536280665415241"/>
    <n v="15449"/>
    <n v="549"/>
    <n v="239"/>
    <n v="276"/>
    <n v="51"/>
    <n v="2"/>
    <n v="56"/>
  </r>
  <r>
    <d v="2025-10-03T00:00:00"/>
    <x v="2"/>
    <x v="3"/>
    <n v="40"/>
    <x v="0"/>
    <n v="7.2727272727272724E-2"/>
    <n v="32.965064198268138"/>
    <n v="16745"/>
    <n v="552"/>
    <n v="402"/>
    <n v="256"/>
    <n v="55"/>
    <n v="4"/>
    <n v="67"/>
  </r>
  <r>
    <d v="2025-10-02T00:00:00"/>
    <x v="2"/>
    <x v="4"/>
    <n v="40"/>
    <x v="0"/>
    <n v="2.3809523809523808E-2"/>
    <n v="37.949314714248771"/>
    <n v="15468"/>
    <n v="587"/>
    <n v="399"/>
    <n v="297"/>
    <n v="42"/>
    <n v="1"/>
    <n v="44"/>
  </r>
  <r>
    <d v="2025-10-01T00:00:00"/>
    <x v="2"/>
    <x v="5"/>
    <n v="40"/>
    <x v="0"/>
    <n v="1.9230769230769232E-2"/>
    <n v="37.540624792730647"/>
    <n v="15077"/>
    <n v="566"/>
    <n v="423"/>
    <n v="241"/>
    <n v="52"/>
    <n v="1"/>
    <n v="58"/>
  </r>
  <r>
    <d v="2025-09-30T00:00:00"/>
    <x v="3"/>
    <x v="6"/>
    <n v="40"/>
    <x v="0"/>
    <n v="1.8867924528301886E-2"/>
    <n v="35.390465048259728"/>
    <n v="13676"/>
    <n v="484"/>
    <n v="448"/>
    <n v="170"/>
    <n v="53"/>
    <n v="1"/>
    <n v="67"/>
  </r>
  <r>
    <d v="2025-09-29T00:00:00"/>
    <x v="3"/>
    <x v="0"/>
    <n v="40"/>
    <x v="0"/>
    <n v="3.125E-2"/>
    <n v="36.049517072507143"/>
    <n v="14702"/>
    <n v="530"/>
    <n v="373"/>
    <n v="281"/>
    <n v="64"/>
    <n v="2"/>
    <n v="68"/>
  </r>
  <r>
    <d v="2025-09-28T00:00:00"/>
    <x v="3"/>
    <x v="1"/>
    <n v="39"/>
    <x v="1"/>
    <n v="3.5714285714285712E-2"/>
    <n v="38.673188627331093"/>
    <n v="13084"/>
    <n v="506"/>
    <n v="181"/>
    <n v="291"/>
    <n v="56"/>
    <n v="2"/>
    <n v="64"/>
  </r>
  <r>
    <d v="2025-09-27T00:00:00"/>
    <x v="3"/>
    <x v="2"/>
    <n v="39"/>
    <x v="1"/>
    <n v="8.3333333333333329E-2"/>
    <n v="36.034935564649118"/>
    <n v="16373"/>
    <n v="590"/>
    <n v="238"/>
    <n v="337"/>
    <n v="72"/>
    <n v="6"/>
    <n v="90"/>
  </r>
  <r>
    <d v="2025-09-26T00:00:00"/>
    <x v="3"/>
    <x v="3"/>
    <n v="39"/>
    <x v="0"/>
    <n v="2.7777777777777776E-2"/>
    <n v="30.987135081642752"/>
    <n v="16168"/>
    <n v="501"/>
    <n v="407"/>
    <n v="236"/>
    <n v="72"/>
    <n v="2"/>
    <n v="79"/>
  </r>
  <r>
    <d v="2025-09-25T00:00:00"/>
    <x v="3"/>
    <x v="4"/>
    <n v="39"/>
    <x v="0"/>
    <n v="6.3291139240506333E-2"/>
    <n v="33.37354242058705"/>
    <n v="14922"/>
    <n v="498"/>
    <n v="458"/>
    <n v="220"/>
    <n v="79"/>
    <n v="5"/>
    <n v="85"/>
  </r>
  <r>
    <d v="2025-09-24T00:00:00"/>
    <x v="3"/>
    <x v="5"/>
    <n v="39"/>
    <x v="0"/>
    <n v="3.1746031746031744E-2"/>
    <n v="31.853088480801336"/>
    <n v="14975"/>
    <n v="477"/>
    <n v="455"/>
    <n v="229"/>
    <n v="63"/>
    <n v="2"/>
    <n v="69"/>
  </r>
  <r>
    <d v="2025-09-23T00:00:00"/>
    <x v="3"/>
    <x v="6"/>
    <n v="39"/>
    <x v="0"/>
    <n v="8.3333333333333329E-2"/>
    <n v="33.944648216072025"/>
    <n v="14995"/>
    <n v="509"/>
    <n v="474"/>
    <n v="207"/>
    <n v="72"/>
    <n v="6"/>
    <n v="83"/>
  </r>
  <r>
    <d v="2025-09-22T00:00:00"/>
    <x v="3"/>
    <x v="0"/>
    <n v="39"/>
    <x v="0"/>
    <n v="4.8192771084337352E-2"/>
    <n v="41.197336486402392"/>
    <n v="16069"/>
    <n v="662"/>
    <n v="345"/>
    <n v="426"/>
    <n v="83"/>
    <n v="4"/>
    <n v="91"/>
  </r>
  <r>
    <d v="2025-09-21T00:00:00"/>
    <x v="3"/>
    <x v="1"/>
    <n v="38"/>
    <x v="1"/>
    <n v="0.06"/>
    <n v="37.371688487307146"/>
    <n v="16269"/>
    <n v="608"/>
    <n v="188"/>
    <n v="365"/>
    <n v="100"/>
    <n v="6"/>
    <n v="110"/>
  </r>
  <r>
    <d v="2025-09-20T00:00:00"/>
    <x v="3"/>
    <x v="2"/>
    <n v="38"/>
    <x v="1"/>
    <n v="0.11235955056179775"/>
    <n v="39.278004317582152"/>
    <n v="16676"/>
    <n v="655"/>
    <n v="208"/>
    <n v="390"/>
    <n v="89"/>
    <n v="10"/>
    <n v="91"/>
  </r>
  <r>
    <d v="2025-09-19T00:00:00"/>
    <x v="3"/>
    <x v="3"/>
    <n v="38"/>
    <x v="0"/>
    <n v="7.8947368421052627E-2"/>
    <n v="32.543190036159103"/>
    <n v="17423"/>
    <n v="567"/>
    <n v="383"/>
    <n v="256"/>
    <n v="76"/>
    <n v="6"/>
    <n v="81"/>
  </r>
  <r>
    <d v="2025-09-18T00:00:00"/>
    <x v="3"/>
    <x v="4"/>
    <n v="38"/>
    <x v="0"/>
    <n v="5.7971014492753624E-2"/>
    <n v="32.441661923733633"/>
    <n v="15813"/>
    <n v="513"/>
    <n v="396"/>
    <n v="175"/>
    <n v="69"/>
    <n v="4"/>
    <n v="75"/>
  </r>
  <r>
    <d v="2025-09-17T00:00:00"/>
    <x v="3"/>
    <x v="5"/>
    <n v="38"/>
    <x v="0"/>
    <n v="6.5217391304347824E-2"/>
    <n v="32.597054886211517"/>
    <n v="14940"/>
    <n v="487"/>
    <n v="348"/>
    <n v="201"/>
    <n v="46"/>
    <n v="3"/>
    <n v="48"/>
  </r>
  <r>
    <d v="2025-09-16T00:00:00"/>
    <x v="3"/>
    <x v="6"/>
    <n v="38"/>
    <x v="0"/>
    <n v="6.25E-2"/>
    <n v="33.264586521189543"/>
    <n v="15031"/>
    <n v="500"/>
    <n v="400"/>
    <n v="228"/>
    <n v="64"/>
    <n v="4"/>
    <n v="71"/>
  </r>
  <r>
    <d v="2025-09-15T00:00:00"/>
    <x v="3"/>
    <x v="0"/>
    <n v="38"/>
    <x v="0"/>
    <n v="0.1111111111111111"/>
    <n v="37.752866898595542"/>
    <n v="15522"/>
    <n v="586"/>
    <n v="358"/>
    <n v="349"/>
    <n v="72"/>
    <n v="8"/>
    <n v="77"/>
  </r>
  <r>
    <d v="2025-09-14T00:00:00"/>
    <x v="3"/>
    <x v="1"/>
    <n v="37"/>
    <x v="1"/>
    <n v="9.0909090909090912E-2"/>
    <n v="36.99934578759904"/>
    <n v="13757"/>
    <n v="509"/>
    <n v="219"/>
    <n v="290"/>
    <n v="55"/>
    <n v="5"/>
    <n v="76"/>
  </r>
  <r>
    <d v="2025-09-13T00:00:00"/>
    <x v="3"/>
    <x v="2"/>
    <n v="37"/>
    <x v="1"/>
    <n v="5.7692307692307696E-2"/>
    <n v="35.221350438119231"/>
    <n v="17461"/>
    <n v="615"/>
    <n v="258"/>
    <n v="351"/>
    <n v="52"/>
    <n v="3"/>
    <n v="60"/>
  </r>
  <r>
    <d v="2025-09-12T00:00:00"/>
    <x v="3"/>
    <x v="3"/>
    <n v="37"/>
    <x v="0"/>
    <n v="0.11494252873563218"/>
    <n v="36.822235596651531"/>
    <n v="18277"/>
    <n v="673"/>
    <n v="425"/>
    <n v="293"/>
    <n v="87"/>
    <n v="10"/>
    <n v="89"/>
  </r>
  <r>
    <d v="2025-09-11T00:00:00"/>
    <x v="3"/>
    <x v="4"/>
    <n v="37"/>
    <x v="0"/>
    <n v="2.8169014084507043E-2"/>
    <n v="33.391477697483175"/>
    <n v="16052"/>
    <n v="536"/>
    <n v="440"/>
    <n v="214"/>
    <n v="71"/>
    <n v="2"/>
    <n v="95"/>
  </r>
  <r>
    <d v="2025-09-10T00:00:00"/>
    <x v="3"/>
    <x v="5"/>
    <n v="37"/>
    <x v="0"/>
    <n v="2.6666666666666668E-2"/>
    <n v="32.07592503604036"/>
    <n v="16648"/>
    <n v="534"/>
    <n v="438"/>
    <n v="242"/>
    <n v="75"/>
    <n v="2"/>
    <n v="88"/>
  </r>
  <r>
    <d v="2025-09-09T00:00:00"/>
    <x v="3"/>
    <x v="6"/>
    <n v="37"/>
    <x v="0"/>
    <n v="5.8823529411764705E-2"/>
    <n v="35.256410256410255"/>
    <n v="15912"/>
    <n v="561"/>
    <n v="399"/>
    <n v="238"/>
    <n v="51"/>
    <n v="3"/>
    <n v="49"/>
  </r>
  <r>
    <d v="2025-09-08T00:00:00"/>
    <x v="3"/>
    <x v="0"/>
    <n v="37"/>
    <x v="0"/>
    <n v="6.8965517241379309E-2"/>
    <n v="40.138190954773869"/>
    <n v="15920"/>
    <n v="639"/>
    <n v="304"/>
    <n v="411"/>
    <n v="58"/>
    <n v="4"/>
    <n v="62"/>
  </r>
  <r>
    <d v="2025-09-07T00:00:00"/>
    <x v="3"/>
    <x v="1"/>
    <n v="36"/>
    <x v="1"/>
    <n v="0.125"/>
    <n v="39.66864224137931"/>
    <n v="14848"/>
    <n v="589"/>
    <n v="198"/>
    <n v="342"/>
    <n v="48"/>
    <n v="6"/>
    <n v="57"/>
  </r>
  <r>
    <d v="2025-09-06T00:00:00"/>
    <x v="3"/>
    <x v="2"/>
    <n v="36"/>
    <x v="1"/>
    <n v="0.12280701754385964"/>
    <n v="30.829949093405023"/>
    <n v="17483"/>
    <n v="539"/>
    <n v="246"/>
    <n v="304"/>
    <n v="57"/>
    <n v="7"/>
    <n v="65"/>
  </r>
  <r>
    <d v="2025-09-05T00:00:00"/>
    <x v="3"/>
    <x v="3"/>
    <n v="36"/>
    <x v="0"/>
    <n v="6.3157894736842107E-2"/>
    <n v="31.067545128287534"/>
    <n v="18669"/>
    <n v="580"/>
    <n v="435"/>
    <n v="290"/>
    <n v="95"/>
    <n v="6"/>
    <n v="108"/>
  </r>
  <r>
    <d v="2025-09-04T00:00:00"/>
    <x v="3"/>
    <x v="4"/>
    <n v="36"/>
    <x v="0"/>
    <n v="2.4691358024691357E-2"/>
    <n v="38.884243220642695"/>
    <n v="16742"/>
    <n v="651"/>
    <n v="383"/>
    <n v="268"/>
    <n v="81"/>
    <n v="2"/>
    <n v="95"/>
  </r>
  <r>
    <d v="2025-09-03T00:00:00"/>
    <x v="3"/>
    <x v="5"/>
    <n v="36"/>
    <x v="0"/>
    <n v="8.5365853658536592E-2"/>
    <n v="36.88499479198579"/>
    <n v="16321"/>
    <n v="602"/>
    <n v="442"/>
    <n v="246"/>
    <n v="82"/>
    <n v="7"/>
    <n v="88"/>
  </r>
  <r>
    <d v="2025-09-02T00:00:00"/>
    <x v="3"/>
    <x v="6"/>
    <n v="36"/>
    <x v="0"/>
    <n v="5.6338028169014086E-2"/>
    <n v="39.377618192698982"/>
    <n v="16710"/>
    <n v="658"/>
    <n v="428"/>
    <n v="348"/>
    <n v="71"/>
    <n v="4"/>
    <n v="81"/>
  </r>
  <r>
    <d v="2025-09-01T00:00:00"/>
    <x v="3"/>
    <x v="0"/>
    <n v="36"/>
    <x v="0"/>
    <n v="4.7619047619047616E-2"/>
    <n v="38.491516277954318"/>
    <n v="16679"/>
    <n v="642"/>
    <n v="308"/>
    <n v="409"/>
    <n v="63"/>
    <n v="3"/>
    <n v="73"/>
  </r>
  <r>
    <d v="2025-08-31T00:00:00"/>
    <x v="4"/>
    <x v="1"/>
    <n v="35"/>
    <x v="1"/>
    <n v="9.2307692307692313E-2"/>
    <n v="37.525354969574039"/>
    <n v="16762"/>
    <n v="629"/>
    <n v="201"/>
    <n v="368"/>
    <n v="65"/>
    <n v="6"/>
    <n v="78"/>
  </r>
  <r>
    <d v="2025-08-30T00:00:00"/>
    <x v="4"/>
    <x v="2"/>
    <n v="35"/>
    <x v="1"/>
    <n v="0.12307692307692308"/>
    <n v="32.415345049292753"/>
    <n v="18664"/>
    <n v="605"/>
    <n v="231"/>
    <n v="379"/>
    <n v="65"/>
    <n v="8"/>
    <n v="82"/>
  </r>
  <r>
    <d v="2025-08-29T00:00:00"/>
    <x v="4"/>
    <x v="3"/>
    <n v="35"/>
    <x v="0"/>
    <n v="6.8493150684931503E-2"/>
    <n v="27.879595690325445"/>
    <n v="18006"/>
    <n v="502"/>
    <n v="431"/>
    <n v="286"/>
    <n v="73"/>
    <n v="5"/>
    <n v="84"/>
  </r>
  <r>
    <d v="2025-08-28T00:00:00"/>
    <x v="4"/>
    <x v="4"/>
    <n v="35"/>
    <x v="0"/>
    <n v="2.8985507246376812E-2"/>
    <n v="29.729240788759572"/>
    <n v="16583"/>
    <n v="493"/>
    <n v="429"/>
    <n v="210"/>
    <n v="69"/>
    <n v="2"/>
    <n v="79"/>
  </r>
  <r>
    <d v="2025-08-27T00:00:00"/>
    <x v="4"/>
    <x v="5"/>
    <n v="35"/>
    <x v="0"/>
    <n v="1.5873015873015872E-2"/>
    <n v="31.673319808913032"/>
    <n v="15281"/>
    <n v="484"/>
    <n v="440"/>
    <n v="235"/>
    <n v="63"/>
    <n v="1"/>
    <n v="66"/>
  </r>
  <r>
    <d v="2025-08-26T00:00:00"/>
    <x v="4"/>
    <x v="6"/>
    <n v="35"/>
    <x v="0"/>
    <n v="0.05"/>
    <n v="35.316946959896505"/>
    <n v="15460"/>
    <n v="546"/>
    <n v="408"/>
    <n v="326"/>
    <n v="60"/>
    <n v="3"/>
    <n v="67"/>
  </r>
  <r>
    <d v="2025-08-25T00:00:00"/>
    <x v="4"/>
    <x v="0"/>
    <n v="35"/>
    <x v="0"/>
    <n v="0.16666666666666666"/>
    <n v="37.205512933668274"/>
    <n v="14729"/>
    <n v="548"/>
    <n v="383"/>
    <n v="368"/>
    <n v="60"/>
    <n v="10"/>
    <n v="69"/>
  </r>
  <r>
    <d v="2025-08-24T00:00:00"/>
    <x v="4"/>
    <x v="1"/>
    <n v="34"/>
    <x v="1"/>
    <n v="0.11666666666666667"/>
    <n v="36.268633779007224"/>
    <n v="13014"/>
    <n v="472"/>
    <n v="184"/>
    <n v="248"/>
    <n v="60"/>
    <n v="7"/>
    <n v="71"/>
  </r>
  <r>
    <d v="2025-08-23T00:00:00"/>
    <x v="4"/>
    <x v="2"/>
    <n v="34"/>
    <x v="1"/>
    <n v="3.1746031746031744E-2"/>
    <n v="37.551073351060381"/>
    <n v="15419"/>
    <n v="579"/>
    <n v="191"/>
    <n v="330"/>
    <n v="63"/>
    <n v="2"/>
    <n v="84"/>
  </r>
  <r>
    <d v="2025-08-22T00:00:00"/>
    <x v="4"/>
    <x v="3"/>
    <n v="34"/>
    <x v="0"/>
    <n v="3.1746031746031744E-2"/>
    <n v="29.427792915531334"/>
    <n v="16515"/>
    <n v="486"/>
    <n v="326"/>
    <n v="261"/>
    <n v="63"/>
    <n v="2"/>
    <n v="79"/>
  </r>
  <r>
    <d v="2025-08-21T00:00:00"/>
    <x v="4"/>
    <x v="4"/>
    <n v="34"/>
    <x v="0"/>
    <n v="7.407407407407407E-2"/>
    <n v="31.571263458847866"/>
    <n v="16439"/>
    <n v="519"/>
    <n v="369"/>
    <n v="229"/>
    <n v="81"/>
    <n v="6"/>
    <n v="87"/>
  </r>
  <r>
    <d v="2025-08-20T00:00:00"/>
    <x v="4"/>
    <x v="5"/>
    <n v="34"/>
    <x v="0"/>
    <n v="1.4492753623188406E-2"/>
    <n v="35.814350103544889"/>
    <n v="16418"/>
    <n v="588"/>
    <n v="385"/>
    <n v="276"/>
    <n v="69"/>
    <n v="1"/>
    <n v="78"/>
  </r>
  <r>
    <d v="2025-08-19T00:00:00"/>
    <x v="4"/>
    <x v="6"/>
    <n v="34"/>
    <x v="0"/>
    <n v="8.9552238805970144E-2"/>
    <n v="32.399137665537417"/>
    <n v="16235"/>
    <n v="526"/>
    <n v="353"/>
    <n v="226"/>
    <n v="67"/>
    <n v="6"/>
    <n v="74"/>
  </r>
  <r>
    <d v="2025-08-18T00:00:00"/>
    <x v="4"/>
    <x v="0"/>
    <n v="34"/>
    <x v="0"/>
    <n v="0.12121212121212122"/>
    <n v="43.623346681228007"/>
    <n v="16482"/>
    <n v="719"/>
    <n v="256"/>
    <n v="589"/>
    <n v="66"/>
    <n v="8"/>
    <n v="76"/>
  </r>
  <r>
    <d v="2025-08-17T00:00:00"/>
    <x v="4"/>
    <x v="1"/>
    <n v="33"/>
    <x v="1"/>
    <n v="0.1038961038961039"/>
    <n v="38.07404660362198"/>
    <n v="16179"/>
    <n v="616"/>
    <n v="187"/>
    <n v="406"/>
    <n v="77"/>
    <n v="8"/>
    <n v="100"/>
  </r>
  <r>
    <d v="2025-08-16T00:00:00"/>
    <x v="4"/>
    <x v="2"/>
    <n v="33"/>
    <x v="1"/>
    <n v="5.9523809523809521E-2"/>
    <n v="31.844456121912771"/>
    <n v="19030"/>
    <n v="606"/>
    <n v="186"/>
    <n v="404"/>
    <n v="84"/>
    <n v="5"/>
    <n v="109"/>
  </r>
  <r>
    <d v="2025-08-15T00:00:00"/>
    <x v="4"/>
    <x v="3"/>
    <n v="33"/>
    <x v="0"/>
    <n v="0.23863636363636365"/>
    <n v="34.498083439808894"/>
    <n v="18001"/>
    <n v="621"/>
    <n v="252"/>
    <n v="406"/>
    <n v="88"/>
    <n v="21"/>
    <n v="106"/>
  </r>
  <r>
    <d v="2025-08-14T00:00:00"/>
    <x v="4"/>
    <x v="4"/>
    <n v="33"/>
    <x v="0"/>
    <n v="6.3063063063063057E-2"/>
    <n v="26.280393171236419"/>
    <n v="19330"/>
    <n v="508"/>
    <n v="330"/>
    <n v="234"/>
    <n v="111"/>
    <n v="7"/>
    <n v="116"/>
  </r>
  <r>
    <d v="2025-08-13T00:00:00"/>
    <x v="4"/>
    <x v="5"/>
    <n v="33"/>
    <x v="0"/>
    <n v="4.49438202247191E-2"/>
    <n v="30.318931840708995"/>
    <n v="17151"/>
    <n v="520"/>
    <n v="366"/>
    <n v="241"/>
    <n v="89"/>
    <n v="4"/>
    <n v="96"/>
  </r>
  <r>
    <d v="2025-08-12T00:00:00"/>
    <x v="4"/>
    <x v="6"/>
    <n v="33"/>
    <x v="0"/>
    <n v="3.3333333333333333E-2"/>
    <n v="30.817461256358687"/>
    <n v="16906"/>
    <n v="521"/>
    <n v="417"/>
    <n v="240"/>
    <n v="90"/>
    <n v="3"/>
    <n v="107"/>
  </r>
  <r>
    <d v="2025-08-11T00:00:00"/>
    <x v="4"/>
    <x v="0"/>
    <n v="33"/>
    <x v="0"/>
    <n v="0.1"/>
    <n v="29.639407211855762"/>
    <n v="16667"/>
    <n v="494"/>
    <n v="298"/>
    <n v="260"/>
    <n v="80"/>
    <n v="8"/>
    <n v="101"/>
  </r>
  <r>
    <d v="2025-08-10T00:00:00"/>
    <x v="4"/>
    <x v="1"/>
    <n v="32"/>
    <x v="1"/>
    <n v="5.4545454545454543E-2"/>
    <n v="40.716612377850161"/>
    <n v="15964"/>
    <n v="650"/>
    <n v="192"/>
    <n v="369"/>
    <n v="55"/>
    <n v="3"/>
    <n v="68"/>
  </r>
  <r>
    <d v="2025-08-09T00:00:00"/>
    <x v="4"/>
    <x v="2"/>
    <n v="32"/>
    <x v="1"/>
    <n v="8.8607594936708861E-2"/>
    <n v="36.111994909322306"/>
    <n v="18858"/>
    <n v="681"/>
    <n v="221"/>
    <n v="398"/>
    <n v="79"/>
    <n v="7"/>
    <n v="84"/>
  </r>
  <r>
    <d v="2025-08-08T00:00:00"/>
    <x v="4"/>
    <x v="3"/>
    <n v="32"/>
    <x v="0"/>
    <n v="8.8607594936708861E-2"/>
    <n v="32.239657631954351"/>
    <n v="17525"/>
    <n v="565"/>
    <n v="328"/>
    <n v="261"/>
    <n v="79"/>
    <n v="7"/>
    <n v="90"/>
  </r>
  <r>
    <d v="2025-08-07T00:00:00"/>
    <x v="4"/>
    <x v="4"/>
    <n v="32"/>
    <x v="0"/>
    <n v="4.4776119402985072E-2"/>
    <n v="34.907597535934286"/>
    <n v="16071"/>
    <n v="561"/>
    <n v="361"/>
    <n v="250"/>
    <n v="67"/>
    <n v="3"/>
    <n v="77"/>
  </r>
  <r>
    <d v="2025-08-06T00:00:00"/>
    <x v="4"/>
    <x v="5"/>
    <n v="32"/>
    <x v="0"/>
    <n v="0"/>
    <n v="32.516061360954502"/>
    <n v="15254"/>
    <n v="496"/>
    <n v="321"/>
    <n v="229"/>
    <n v="57"/>
    <n v="0"/>
    <n v="61"/>
  </r>
  <r>
    <d v="2025-08-05T00:00:00"/>
    <x v="4"/>
    <x v="6"/>
    <n v="32"/>
    <x v="0"/>
    <n v="8.1081081081081086E-2"/>
    <n v="29.855600364251334"/>
    <n v="15374"/>
    <n v="459"/>
    <n v="340"/>
    <n v="201"/>
    <n v="74"/>
    <n v="6"/>
    <n v="78"/>
  </r>
  <r>
    <d v="2025-08-04T00:00:00"/>
    <x v="4"/>
    <x v="0"/>
    <n v="32"/>
    <x v="0"/>
    <n v="2.2222222222222223E-2"/>
    <n v="36.545489517214847"/>
    <n v="15597"/>
    <n v="570"/>
    <n v="312"/>
    <n v="342"/>
    <n v="45"/>
    <n v="1"/>
    <n v="56"/>
  </r>
  <r>
    <d v="2025-08-03T00:00:00"/>
    <x v="4"/>
    <x v="1"/>
    <n v="31"/>
    <x v="1"/>
    <n v="4.6875E-2"/>
    <n v="40.578358208955223"/>
    <n v="15008"/>
    <n v="609"/>
    <n v="215"/>
    <n v="335"/>
    <n v="64"/>
    <n v="3"/>
    <n v="88"/>
  </r>
  <r>
    <d v="2025-08-02T00:00:00"/>
    <x v="4"/>
    <x v="2"/>
    <n v="31"/>
    <x v="1"/>
    <n v="7.4999999999999997E-2"/>
    <n v="37.691664343462499"/>
    <n v="17935"/>
    <n v="676"/>
    <n v="251"/>
    <n v="393"/>
    <n v="80"/>
    <n v="6"/>
    <n v="88"/>
  </r>
  <r>
    <d v="2025-08-01T00:00:00"/>
    <x v="4"/>
    <x v="3"/>
    <n v="31"/>
    <x v="0"/>
    <n v="4.2857142857142858E-2"/>
    <n v="32.20003597769383"/>
    <n v="16677"/>
    <n v="537"/>
    <n v="348"/>
    <n v="251"/>
    <n v="70"/>
    <n v="3"/>
    <n v="83"/>
  </r>
  <r>
    <d v="2025-07-31T00:00:00"/>
    <x v="5"/>
    <x v="4"/>
    <n v="31"/>
    <x v="0"/>
    <n v="2.9850746268656716E-2"/>
    <n v="36.249543072986476"/>
    <n v="16414"/>
    <n v="595"/>
    <n v="402"/>
    <n v="273"/>
    <n v="67"/>
    <n v="2"/>
    <n v="83"/>
  </r>
  <r>
    <d v="2025-07-30T00:00:00"/>
    <x v="5"/>
    <x v="5"/>
    <n v="31"/>
    <x v="0"/>
    <n v="2.8985507246376812E-2"/>
    <n v="34.055914497916788"/>
    <n v="16561"/>
    <n v="564"/>
    <n v="486"/>
    <n v="266"/>
    <n v="69"/>
    <n v="2"/>
    <n v="83"/>
  </r>
  <r>
    <d v="2025-07-29T00:00:00"/>
    <x v="5"/>
    <x v="6"/>
    <n v="31"/>
    <x v="0"/>
    <n v="6.6666666666666666E-2"/>
    <n v="32.163564235581326"/>
    <n v="16385"/>
    <n v="527"/>
    <n v="571"/>
    <n v="233"/>
    <n v="60"/>
    <n v="4"/>
    <n v="65"/>
  </r>
  <r>
    <d v="2025-07-28T00:00:00"/>
    <x v="5"/>
    <x v="0"/>
    <n v="31"/>
    <x v="0"/>
    <n v="8.2191780821917804E-2"/>
    <n v="31.787488852083065"/>
    <n v="15698"/>
    <n v="499"/>
    <n v="378"/>
    <n v="276"/>
    <n v="73"/>
    <n v="6"/>
    <n v="86"/>
  </r>
  <r>
    <d v="2025-07-27T00:00:00"/>
    <x v="5"/>
    <x v="1"/>
    <n v="30"/>
    <x v="1"/>
    <n v="0.140625"/>
    <n v="33.609777389786117"/>
    <n v="16037"/>
    <n v="539"/>
    <n v="215"/>
    <n v="324"/>
    <n v="64"/>
    <n v="9"/>
    <n v="79"/>
  </r>
  <r>
    <d v="2025-07-26T00:00:00"/>
    <x v="5"/>
    <x v="2"/>
    <n v="30"/>
    <x v="1"/>
    <n v="4.4117647058823532E-2"/>
    <n v="37.742005655862521"/>
    <n v="18388"/>
    <n v="694"/>
    <n v="241"/>
    <n v="434"/>
    <n v="68"/>
    <n v="3"/>
    <n v="77"/>
  </r>
  <r>
    <d v="2025-07-25T00:00:00"/>
    <x v="5"/>
    <x v="3"/>
    <n v="30"/>
    <x v="0"/>
    <n v="5.128205128205128E-2"/>
    <n v="31.757233592095979"/>
    <n v="18421"/>
    <n v="585"/>
    <n v="370"/>
    <n v="274"/>
    <n v="78"/>
    <n v="4"/>
    <n v="90"/>
  </r>
  <r>
    <d v="2025-07-24T00:00:00"/>
    <x v="5"/>
    <x v="4"/>
    <n v="30"/>
    <x v="0"/>
    <n v="7.0422535211267609E-2"/>
    <n v="36.499353473609972"/>
    <n v="17014"/>
    <n v="621"/>
    <n v="482"/>
    <n v="284"/>
    <n v="71"/>
    <n v="5"/>
    <n v="72"/>
  </r>
  <r>
    <d v="2025-07-23T00:00:00"/>
    <x v="5"/>
    <x v="5"/>
    <n v="30"/>
    <x v="0"/>
    <n v="1.2987012987012988E-2"/>
    <n v="36.387814313346226"/>
    <n v="16544"/>
    <n v="602"/>
    <n v="503"/>
    <n v="306"/>
    <n v="77"/>
    <n v="1"/>
    <n v="93"/>
  </r>
  <r>
    <d v="2025-07-22T00:00:00"/>
    <x v="5"/>
    <x v="6"/>
    <n v="30"/>
    <x v="0"/>
    <n v="2.8169014084507043E-2"/>
    <n v="33.135242211417257"/>
    <n v="16659"/>
    <n v="552"/>
    <n v="482"/>
    <n v="259"/>
    <n v="71"/>
    <n v="2"/>
    <n v="88"/>
  </r>
  <r>
    <d v="2025-07-21T00:00:00"/>
    <x v="5"/>
    <x v="0"/>
    <n v="30"/>
    <x v="0"/>
    <n v="7.6923076923076927E-2"/>
    <n v="43.232323232323232"/>
    <n v="17325"/>
    <n v="749"/>
    <n v="341"/>
    <n v="470"/>
    <n v="91"/>
    <n v="7"/>
    <n v="100"/>
  </r>
  <r>
    <d v="2025-07-20T00:00:00"/>
    <x v="5"/>
    <x v="1"/>
    <n v="29"/>
    <x v="1"/>
    <n v="5.9701492537313432E-2"/>
    <n v="32.706066253832745"/>
    <n v="16633"/>
    <n v="544"/>
    <n v="233"/>
    <n v="311"/>
    <n v="67"/>
    <n v="4"/>
    <n v="73"/>
  </r>
  <r>
    <d v="2025-07-19T00:00:00"/>
    <x v="5"/>
    <x v="2"/>
    <n v="29"/>
    <x v="1"/>
    <n v="8.0459770114942528E-2"/>
    <n v="31.084515992374499"/>
    <n v="18884"/>
    <n v="587"/>
    <n v="249"/>
    <n v="364"/>
    <n v="87"/>
    <n v="7"/>
    <n v="97"/>
  </r>
  <r>
    <d v="2025-07-18T00:00:00"/>
    <x v="5"/>
    <x v="3"/>
    <n v="29"/>
    <x v="0"/>
    <n v="4.5454545454545456E-2"/>
    <n v="29.786511127470412"/>
    <n v="17659"/>
    <n v="526"/>
    <n v="379"/>
    <n v="315"/>
    <n v="66"/>
    <n v="3"/>
    <n v="77"/>
  </r>
  <r>
    <d v="2025-07-17T00:00:00"/>
    <x v="5"/>
    <x v="4"/>
    <n v="29"/>
    <x v="0"/>
    <n v="0.19047619047619047"/>
    <n v="35.850115343849367"/>
    <n v="16039"/>
    <n v="575"/>
    <n v="419"/>
    <n v="245"/>
    <n v="63"/>
    <n v="12"/>
    <n v="72"/>
  </r>
  <r>
    <d v="2025-07-16T00:00:00"/>
    <x v="5"/>
    <x v="5"/>
    <n v="29"/>
    <x v="0"/>
    <n v="8.9285714285714288E-2"/>
    <n v="37.714781961416783"/>
    <n v="16121"/>
    <n v="608"/>
    <n v="460"/>
    <n v="278"/>
    <n v="56"/>
    <n v="5"/>
    <n v="62"/>
  </r>
  <r>
    <d v="2025-07-15T00:00:00"/>
    <x v="5"/>
    <x v="6"/>
    <n v="29"/>
    <x v="0"/>
    <n v="6.3829787234042548E-2"/>
    <n v="35.344156233151615"/>
    <n v="16693"/>
    <n v="590"/>
    <n v="484"/>
    <n v="271"/>
    <n v="47"/>
    <n v="3"/>
    <n v="56"/>
  </r>
  <r>
    <d v="2025-07-14T00:00:00"/>
    <x v="5"/>
    <x v="0"/>
    <n v="29"/>
    <x v="0"/>
    <n v="3.5087719298245612E-2"/>
    <n v="37.792582984493841"/>
    <n v="16961"/>
    <n v="641"/>
    <n v="374"/>
    <n v="368"/>
    <n v="57"/>
    <n v="2"/>
    <n v="64"/>
  </r>
  <r>
    <d v="2025-07-13T00:00:00"/>
    <x v="5"/>
    <x v="1"/>
    <n v="28"/>
    <x v="1"/>
    <n v="8.6206896551724144E-2"/>
    <n v="41.36300965136892"/>
    <n v="15231"/>
    <n v="630"/>
    <n v="235"/>
    <n v="362"/>
    <n v="58"/>
    <n v="5"/>
    <n v="78"/>
  </r>
  <r>
    <d v="2025-07-12T00:00:00"/>
    <x v="5"/>
    <x v="2"/>
    <n v="28"/>
    <x v="1"/>
    <n v="3.3333333333333333E-2"/>
    <n v="40.533457573816314"/>
    <n v="17171"/>
    <n v="696"/>
    <n v="271"/>
    <n v="365"/>
    <n v="60"/>
    <n v="2"/>
    <n v="77"/>
  </r>
  <r>
    <d v="2025-07-11T00:00:00"/>
    <x v="5"/>
    <x v="3"/>
    <n v="28"/>
    <x v="0"/>
    <n v="0.13559322033898305"/>
    <n v="34.665099882491191"/>
    <n v="17020"/>
    <n v="590"/>
    <n v="396"/>
    <n v="281"/>
    <n v="59"/>
    <n v="8"/>
    <n v="71"/>
  </r>
  <r>
    <d v="2025-07-10T00:00:00"/>
    <x v="5"/>
    <x v="4"/>
    <n v="28"/>
    <x v="0"/>
    <n v="8.5106382978723402E-2"/>
    <n v="34.751951649458576"/>
    <n v="15884"/>
    <n v="552"/>
    <n v="473"/>
    <n v="266"/>
    <n v="47"/>
    <n v="4"/>
    <n v="62"/>
  </r>
  <r>
    <d v="2025-07-09T00:00:00"/>
    <x v="5"/>
    <x v="5"/>
    <n v="28"/>
    <x v="0"/>
    <n v="3.0769230769230771E-2"/>
    <n v="36.475166545742361"/>
    <n v="15161"/>
    <n v="553"/>
    <n v="439"/>
    <n v="233"/>
    <n v="65"/>
    <n v="2"/>
    <n v="78"/>
  </r>
  <r>
    <d v="2025-07-08T00:00:00"/>
    <x v="5"/>
    <x v="6"/>
    <n v="28"/>
    <x v="0"/>
    <n v="4.4117647058823532E-2"/>
    <n v="35.014988200778113"/>
    <n v="15679"/>
    <n v="549"/>
    <n v="453"/>
    <n v="274"/>
    <n v="68"/>
    <n v="3"/>
    <n v="76"/>
  </r>
  <r>
    <d v="2025-07-07T00:00:00"/>
    <x v="5"/>
    <x v="0"/>
    <n v="28"/>
    <x v="0"/>
    <n v="1.6129032258064516E-2"/>
    <n v="38.052202865806528"/>
    <n v="16819"/>
    <n v="640"/>
    <n v="356"/>
    <n v="368"/>
    <n v="62"/>
    <n v="1"/>
    <n v="90"/>
  </r>
  <r>
    <d v="2025-07-06T00:00:00"/>
    <x v="5"/>
    <x v="1"/>
    <n v="27"/>
    <x v="1"/>
    <n v="8.5714285714285715E-2"/>
    <n v="34.235294117647058"/>
    <n v="17000"/>
    <n v="582"/>
    <n v="226"/>
    <n v="350"/>
    <n v="70"/>
    <n v="6"/>
    <n v="92"/>
  </r>
  <r>
    <d v="2025-07-05T00:00:00"/>
    <x v="5"/>
    <x v="2"/>
    <n v="27"/>
    <x v="1"/>
    <n v="6.5789473684210523E-2"/>
    <n v="39.769012856831559"/>
    <n v="18356"/>
    <n v="730"/>
    <n v="257"/>
    <n v="444"/>
    <n v="76"/>
    <n v="5"/>
    <n v="97"/>
  </r>
  <r>
    <d v="2025-07-04T00:00:00"/>
    <x v="5"/>
    <x v="3"/>
    <n v="27"/>
    <x v="0"/>
    <n v="7.2289156626506021E-2"/>
    <n v="32.504780114722756"/>
    <n v="17782"/>
    <n v="578"/>
    <n v="442"/>
    <n v="276"/>
    <n v="83"/>
    <n v="6"/>
    <n v="99"/>
  </r>
  <r>
    <d v="2025-07-03T00:00:00"/>
    <x v="5"/>
    <x v="4"/>
    <n v="27"/>
    <x v="0"/>
    <n v="3.3333333333333333E-2"/>
    <n v="35.652871718445489"/>
    <n v="17446"/>
    <n v="622"/>
    <n v="484"/>
    <n v="301"/>
    <n v="90"/>
    <n v="3"/>
    <n v="107"/>
  </r>
  <r>
    <d v="2025-07-02T00:00:00"/>
    <x v="5"/>
    <x v="5"/>
    <n v="27"/>
    <x v="0"/>
    <n v="9.5238095238095233E-2"/>
    <n v="31.831146605818596"/>
    <n v="17530"/>
    <n v="558"/>
    <n v="453"/>
    <n v="274"/>
    <n v="84"/>
    <n v="8"/>
    <n v="93"/>
  </r>
  <r>
    <d v="2025-07-01T00:00:00"/>
    <x v="5"/>
    <x v="6"/>
    <n v="27"/>
    <x v="0"/>
    <n v="5.2631578947368418E-2"/>
    <n v="32.606790159527847"/>
    <n v="17113"/>
    <n v="558"/>
    <n v="414"/>
    <n v="279"/>
    <n v="76"/>
    <n v="4"/>
    <n v="92"/>
  </r>
  <r>
    <d v="2025-06-30T00:00:00"/>
    <x v="6"/>
    <x v="0"/>
    <n v="27"/>
    <x v="0"/>
    <n v="7.0422535211267609E-2"/>
    <n v="32.246633593196314"/>
    <n v="16932"/>
    <n v="546"/>
    <n v="353"/>
    <n v="363"/>
    <n v="71"/>
    <n v="5"/>
    <n v="74"/>
  </r>
  <r>
    <d v="2025-06-29T00:00:00"/>
    <x v="6"/>
    <x v="1"/>
    <n v="26"/>
    <x v="1"/>
    <n v="9.5238095238095233E-2"/>
    <n v="36.195139010316495"/>
    <n v="17157"/>
    <n v="621"/>
    <n v="230"/>
    <n v="344"/>
    <n v="63"/>
    <n v="6"/>
    <n v="79"/>
  </r>
  <r>
    <d v="2025-06-28T00:00:00"/>
    <x v="6"/>
    <x v="2"/>
    <n v="26"/>
    <x v="1"/>
    <n v="1.5151515151515152E-2"/>
    <n v="30.660005259006045"/>
    <n v="19015"/>
    <n v="583"/>
    <n v="257"/>
    <n v="354"/>
    <n v="66"/>
    <n v="1"/>
    <n v="76"/>
  </r>
  <r>
    <d v="2025-06-27T00:00:00"/>
    <x v="6"/>
    <x v="3"/>
    <n v="26"/>
    <x v="0"/>
    <n v="5.6179775280898875E-2"/>
    <n v="31.170928667563931"/>
    <n v="18575"/>
    <n v="579"/>
    <n v="348"/>
    <n v="320"/>
    <n v="89"/>
    <n v="5"/>
    <n v="113"/>
  </r>
  <r>
    <d v="2025-06-26T00:00:00"/>
    <x v="6"/>
    <x v="4"/>
    <n v="26"/>
    <x v="0"/>
    <n v="9.3023255813953487E-2"/>
    <n v="32.701149425287362"/>
    <n v="17400"/>
    <n v="569"/>
    <n v="416"/>
    <n v="295"/>
    <n v="86"/>
    <n v="8"/>
    <n v="95"/>
  </r>
  <r>
    <d v="2025-06-25T00:00:00"/>
    <x v="6"/>
    <x v="5"/>
    <n v="26"/>
    <x v="0"/>
    <n v="4.9382716049382713E-2"/>
    <n v="31.802336248547487"/>
    <n v="16351"/>
    <n v="520"/>
    <n v="413"/>
    <n v="228"/>
    <n v="81"/>
    <n v="4"/>
    <n v="86"/>
  </r>
  <r>
    <d v="2025-06-24T00:00:00"/>
    <x v="6"/>
    <x v="6"/>
    <n v="26"/>
    <x v="0"/>
    <n v="1.5384615384615385E-2"/>
    <n v="27.809023872015995"/>
    <n v="16002"/>
    <n v="445"/>
    <n v="354"/>
    <n v="189"/>
    <n v="65"/>
    <n v="1"/>
    <n v="72"/>
  </r>
  <r>
    <d v="2025-06-23T00:00:00"/>
    <x v="6"/>
    <x v="0"/>
    <n v="26"/>
    <x v="0"/>
    <n v="3.896103896103896E-2"/>
    <n v="47.73604773604773"/>
    <n v="17094"/>
    <n v="816"/>
    <n v="300"/>
    <n v="675"/>
    <n v="77"/>
    <n v="3"/>
    <n v="99"/>
  </r>
  <r>
    <d v="2025-06-22T00:00:00"/>
    <x v="6"/>
    <x v="1"/>
    <n v="25"/>
    <x v="1"/>
    <n v="6.4516129032258063E-2"/>
    <n v="39.830024735206443"/>
    <n v="15767"/>
    <n v="628"/>
    <n v="212"/>
    <n v="414"/>
    <n v="62"/>
    <n v="4"/>
    <n v="85"/>
  </r>
  <r>
    <d v="2025-06-21T00:00:00"/>
    <x v="6"/>
    <x v="2"/>
    <n v="25"/>
    <x v="1"/>
    <n v="8.8235294117647065E-2"/>
    <n v="33.474502523641"/>
    <n v="17237"/>
    <n v="577"/>
    <n v="216"/>
    <n v="330"/>
    <n v="68"/>
    <n v="6"/>
    <n v="75"/>
  </r>
  <r>
    <d v="2025-06-20T00:00:00"/>
    <x v="6"/>
    <x v="3"/>
    <n v="25"/>
    <x v="0"/>
    <n v="4.4117647058823532E-2"/>
    <n v="37.119908204245554"/>
    <n v="17430"/>
    <n v="647"/>
    <n v="332"/>
    <n v="353"/>
    <n v="68"/>
    <n v="3"/>
    <n v="79"/>
  </r>
  <r>
    <d v="2025-06-19T00:00:00"/>
    <x v="6"/>
    <x v="4"/>
    <n v="25"/>
    <x v="0"/>
    <n v="7.6923076923076927E-2"/>
    <n v="38.074951740664318"/>
    <n v="15023"/>
    <n v="572"/>
    <n v="291"/>
    <n v="323"/>
    <n v="65"/>
    <n v="5"/>
    <n v="78"/>
  </r>
  <r>
    <d v="2025-06-18T00:00:00"/>
    <x v="6"/>
    <x v="5"/>
    <n v="25"/>
    <x v="0"/>
    <n v="3.896103896103896E-2"/>
    <n v="33.476060724017124"/>
    <n v="17983"/>
    <n v="602"/>
    <n v="371"/>
    <n v="295"/>
    <n v="77"/>
    <n v="3"/>
    <n v="91"/>
  </r>
  <r>
    <d v="2025-06-17T00:00:00"/>
    <x v="6"/>
    <x v="6"/>
    <n v="25"/>
    <x v="0"/>
    <n v="1.4492753623188406E-2"/>
    <n v="31.09903381642512"/>
    <n v="16560"/>
    <n v="515"/>
    <n v="397"/>
    <n v="232"/>
    <n v="69"/>
    <n v="1"/>
    <n v="81"/>
  </r>
  <r>
    <d v="2025-06-16T00:00:00"/>
    <x v="6"/>
    <x v="0"/>
    <n v="25"/>
    <x v="0"/>
    <n v="6.9444444444444448E-2"/>
    <n v="38.189886867929246"/>
    <n v="15999"/>
    <n v="611"/>
    <n v="371"/>
    <n v="342"/>
    <n v="72"/>
    <n v="5"/>
    <n v="83"/>
  </r>
  <r>
    <d v="2025-06-15T00:00:00"/>
    <x v="6"/>
    <x v="1"/>
    <n v="24"/>
    <x v="1"/>
    <n v="8.5106382978723402E-2"/>
    <n v="33.443770707007559"/>
    <n v="15997"/>
    <n v="535"/>
    <n v="233"/>
    <n v="308"/>
    <n v="94"/>
    <n v="8"/>
    <n v="121"/>
  </r>
  <r>
    <d v="2025-06-14T00:00:00"/>
    <x v="6"/>
    <x v="2"/>
    <n v="24"/>
    <x v="1"/>
    <n v="3.614457831325301E-2"/>
    <n v="33.429167371328717"/>
    <n v="17739"/>
    <n v="593"/>
    <n v="241"/>
    <n v="326"/>
    <n v="83"/>
    <n v="3"/>
    <n v="94"/>
  </r>
  <r>
    <d v="2025-06-13T00:00:00"/>
    <x v="6"/>
    <x v="3"/>
    <n v="24"/>
    <x v="0"/>
    <n v="1.4492753623188406E-2"/>
    <n v="28.005194511885268"/>
    <n v="17711"/>
    <n v="496"/>
    <n v="399"/>
    <n v="215"/>
    <n v="69"/>
    <n v="1"/>
    <n v="90"/>
  </r>
  <r>
    <d v="2025-06-12T00:00:00"/>
    <x v="6"/>
    <x v="4"/>
    <n v="24"/>
    <x v="0"/>
    <n v="9.375E-2"/>
    <n v="32.420483851160505"/>
    <n v="16286"/>
    <n v="528"/>
    <n v="399"/>
    <n v="233"/>
    <n v="64"/>
    <n v="6"/>
    <n v="69"/>
  </r>
  <r>
    <d v="2025-06-11T00:00:00"/>
    <x v="6"/>
    <x v="5"/>
    <n v="24"/>
    <x v="0"/>
    <n v="7.407407407407407E-2"/>
    <n v="34.215666464605647"/>
    <n v="14847"/>
    <n v="508"/>
    <n v="374"/>
    <n v="202"/>
    <n v="54"/>
    <n v="4"/>
    <n v="69"/>
  </r>
  <r>
    <d v="2025-06-10T00:00:00"/>
    <x v="6"/>
    <x v="6"/>
    <n v="24"/>
    <x v="0"/>
    <n v="6.5573770491803282E-2"/>
    <n v="32.255953938759482"/>
    <n v="15284"/>
    <n v="493"/>
    <n v="849"/>
    <n v="205"/>
    <n v="61"/>
    <n v="4"/>
    <n v="70"/>
  </r>
  <r>
    <d v="2025-06-09T00:00:00"/>
    <x v="6"/>
    <x v="0"/>
    <n v="24"/>
    <x v="0"/>
    <n v="0"/>
    <n v="33.194182601669809"/>
    <n v="14852"/>
    <n v="493"/>
    <n v="910"/>
    <n v="243"/>
    <n v="45"/>
    <n v="0"/>
    <n v="56"/>
  </r>
  <r>
    <d v="2025-06-08T00:00:00"/>
    <x v="6"/>
    <x v="1"/>
    <n v="23"/>
    <x v="1"/>
    <n v="0.12121212121212122"/>
    <n v="38.558318531675546"/>
    <n v="13512"/>
    <n v="521"/>
    <n v="163"/>
    <n v="298"/>
    <n v="66"/>
    <n v="8"/>
    <n v="86"/>
  </r>
  <r>
    <d v="2025-06-07T00:00:00"/>
    <x v="6"/>
    <x v="2"/>
    <n v="23"/>
    <x v="1"/>
    <n v="8.1081081081081086E-2"/>
    <n v="33.960720130932899"/>
    <n v="17108"/>
    <n v="581"/>
    <n v="201"/>
    <n v="338"/>
    <n v="74"/>
    <n v="6"/>
    <n v="88"/>
  </r>
  <r>
    <d v="2025-06-06T00:00:00"/>
    <x v="6"/>
    <x v="3"/>
    <n v="23"/>
    <x v="0"/>
    <n v="8.2352941176470587E-2"/>
    <n v="31.540987136013776"/>
    <n v="18579"/>
    <n v="586"/>
    <n v="356"/>
    <n v="285"/>
    <n v="85"/>
    <n v="7"/>
    <n v="90"/>
  </r>
  <r>
    <d v="2025-06-05T00:00:00"/>
    <x v="6"/>
    <x v="4"/>
    <n v="23"/>
    <x v="0"/>
    <n v="2.564102564102564E-2"/>
    <n v="32.965743782261853"/>
    <n v="17048"/>
    <n v="562"/>
    <n v="406"/>
    <n v="254"/>
    <n v="78"/>
    <n v="2"/>
    <n v="84"/>
  </r>
  <r>
    <d v="2025-06-04T00:00:00"/>
    <x v="6"/>
    <x v="5"/>
    <n v="23"/>
    <x v="0"/>
    <n v="3.2967032967032968E-2"/>
    <n v="32.346587259882057"/>
    <n v="17127"/>
    <n v="554"/>
    <n v="422"/>
    <n v="243"/>
    <n v="91"/>
    <n v="3"/>
    <n v="97"/>
  </r>
  <r>
    <d v="2025-06-03T00:00:00"/>
    <x v="6"/>
    <x v="6"/>
    <n v="23"/>
    <x v="0"/>
    <n v="3.5087719298245612E-2"/>
    <n v="31.82880776838698"/>
    <n v="16683"/>
    <n v="531"/>
    <n v="407"/>
    <n v="226"/>
    <n v="57"/>
    <n v="2"/>
    <n v="61"/>
  </r>
  <r>
    <d v="2025-06-02T00:00:00"/>
    <x v="6"/>
    <x v="0"/>
    <n v="23"/>
    <x v="0"/>
    <n v="5.8823529411764705E-2"/>
    <n v="33.477321814254864"/>
    <n v="16668"/>
    <n v="558"/>
    <n v="396"/>
    <n v="294"/>
    <n v="68"/>
    <n v="4"/>
    <n v="72"/>
  </r>
  <r>
    <d v="2025-06-01T00:00:00"/>
    <x v="6"/>
    <x v="1"/>
    <n v="22"/>
    <x v="1"/>
    <n v="5.7142857142857141E-2"/>
    <n v="35.005253553060889"/>
    <n v="18083"/>
    <n v="633"/>
    <n v="315"/>
    <n v="391"/>
    <n v="70"/>
    <n v="4"/>
    <n v="78"/>
  </r>
  <r>
    <d v="2025-05-31T00:00:00"/>
    <x v="7"/>
    <x v="2"/>
    <n v="22"/>
    <x v="1"/>
    <n v="0.11666666666666667"/>
    <n v="32.020911615749064"/>
    <n v="18363"/>
    <n v="588"/>
    <n v="262"/>
    <n v="340"/>
    <n v="60"/>
    <n v="7"/>
    <n v="71"/>
  </r>
  <r>
    <d v="2025-05-30T00:00:00"/>
    <x v="7"/>
    <x v="3"/>
    <n v="22"/>
    <x v="0"/>
    <n v="0.10256410256410256"/>
    <n v="28.505878979065098"/>
    <n v="17435"/>
    <n v="497"/>
    <n v="387"/>
    <n v="243"/>
    <n v="78"/>
    <n v="8"/>
    <n v="72"/>
  </r>
  <r>
    <d v="2025-05-29T00:00:00"/>
    <x v="7"/>
    <x v="4"/>
    <n v="22"/>
    <x v="0"/>
    <n v="3.1746031746031744E-2"/>
    <n v="34.447234563131801"/>
    <n v="15531"/>
    <n v="535"/>
    <n v="475"/>
    <n v="210"/>
    <n v="63"/>
    <n v="2"/>
    <n v="74"/>
  </r>
  <r>
    <d v="2025-05-28T00:00:00"/>
    <x v="7"/>
    <x v="5"/>
    <n v="22"/>
    <x v="0"/>
    <n v="2.8985507246376812E-2"/>
    <n v="33.726385190820338"/>
    <n v="15774"/>
    <n v="532"/>
    <n v="480"/>
    <n v="207"/>
    <n v="69"/>
    <n v="2"/>
    <n v="73"/>
  </r>
  <r>
    <d v="2025-05-27T00:00:00"/>
    <x v="7"/>
    <x v="6"/>
    <n v="22"/>
    <x v="0"/>
    <n v="7.5949367088607597E-2"/>
    <n v="33.677648065521666"/>
    <n v="16361"/>
    <n v="551"/>
    <n v="478"/>
    <n v="198"/>
    <n v="79"/>
    <n v="6"/>
    <n v="89"/>
  </r>
  <r>
    <d v="2025-05-26T00:00:00"/>
    <x v="7"/>
    <x v="0"/>
    <n v="22"/>
    <x v="0"/>
    <n v="5.8823529411764705E-2"/>
    <n v="36.105450840550176"/>
    <n v="15704"/>
    <n v="567"/>
    <n v="405"/>
    <n v="349"/>
    <n v="68"/>
    <n v="4"/>
    <n v="84"/>
  </r>
  <r>
    <d v="2025-05-25T00:00:00"/>
    <x v="7"/>
    <x v="1"/>
    <n v="21"/>
    <x v="1"/>
    <n v="5.1724137931034482E-2"/>
    <n v="38.153589083060645"/>
    <n v="14363"/>
    <n v="548"/>
    <n v="216"/>
    <n v="288"/>
    <n v="58"/>
    <n v="3"/>
    <n v="65"/>
  </r>
  <r>
    <d v="2025-05-24T00:00:00"/>
    <x v="7"/>
    <x v="2"/>
    <n v="21"/>
    <x v="1"/>
    <n v="6.3492063492063489E-2"/>
    <n v="32.070317139802832"/>
    <n v="16838"/>
    <n v="540"/>
    <n v="238"/>
    <n v="264"/>
    <n v="63"/>
    <n v="4"/>
    <n v="69"/>
  </r>
  <r>
    <d v="2025-05-23T00:00:00"/>
    <x v="7"/>
    <x v="3"/>
    <n v="21"/>
    <x v="0"/>
    <n v="6.1538461538461542E-2"/>
    <n v="30.413553738455203"/>
    <n v="16999"/>
    <n v="517"/>
    <n v="437"/>
    <n v="220"/>
    <n v="65"/>
    <n v="4"/>
    <n v="70"/>
  </r>
  <r>
    <d v="2025-05-22T00:00:00"/>
    <x v="7"/>
    <x v="4"/>
    <n v="21"/>
    <x v="0"/>
    <n v="6.5573770491803282E-2"/>
    <n v="35.5660201995167"/>
    <n v="16139"/>
    <n v="574"/>
    <n v="487"/>
    <n v="251"/>
    <n v="61"/>
    <n v="4"/>
    <n v="65"/>
  </r>
  <r>
    <d v="2025-05-21T00:00:00"/>
    <x v="7"/>
    <x v="5"/>
    <n v="21"/>
    <x v="0"/>
    <n v="9.0909090909090912E-2"/>
    <n v="35.167916133357714"/>
    <n v="16407"/>
    <n v="577"/>
    <n v="420"/>
    <n v="221"/>
    <n v="66"/>
    <n v="6"/>
    <n v="72"/>
  </r>
  <r>
    <d v="2025-05-20T00:00:00"/>
    <x v="7"/>
    <x v="6"/>
    <n v="21"/>
    <x v="0"/>
    <n v="7.575757575757576E-2"/>
    <n v="32.160865822162101"/>
    <n v="16262"/>
    <n v="523"/>
    <n v="423"/>
    <n v="203"/>
    <n v="66"/>
    <n v="5"/>
    <n v="78"/>
  </r>
  <r>
    <d v="2025-05-19T00:00:00"/>
    <x v="7"/>
    <x v="0"/>
    <n v="21"/>
    <x v="0"/>
    <n v="3.2786885245901641E-2"/>
    <n v="33.060072570891009"/>
    <n v="14882"/>
    <n v="492"/>
    <n v="344"/>
    <n v="233"/>
    <n v="61"/>
    <n v="2"/>
    <n v="69"/>
  </r>
  <r>
    <d v="2025-05-18T00:00:00"/>
    <x v="7"/>
    <x v="1"/>
    <n v="20"/>
    <x v="1"/>
    <n v="3.5714285714285712E-2"/>
    <n v="40.404040404040408"/>
    <n v="14256"/>
    <n v="576"/>
    <n v="261"/>
    <n v="316"/>
    <n v="28"/>
    <n v="1"/>
    <n v="44"/>
  </r>
  <r>
    <d v="2025-05-17T00:00:00"/>
    <x v="7"/>
    <x v="2"/>
    <n v="20"/>
    <x v="1"/>
    <n v="5.128205128205128E-2"/>
    <n v="35.70737995488237"/>
    <n v="15515"/>
    <n v="554"/>
    <n v="263"/>
    <n v="293"/>
    <n v="39"/>
    <n v="2"/>
    <n v="46"/>
  </r>
  <r>
    <d v="2025-05-16T00:00:00"/>
    <x v="7"/>
    <x v="3"/>
    <n v="20"/>
    <x v="0"/>
    <n v="0.11666666666666667"/>
    <n v="33.736312424837017"/>
    <n v="15799"/>
    <n v="533"/>
    <n v="382"/>
    <n v="237"/>
    <n v="60"/>
    <n v="7"/>
    <n v="59"/>
  </r>
  <r>
    <d v="2025-05-15T00:00:00"/>
    <x v="7"/>
    <x v="4"/>
    <n v="20"/>
    <x v="0"/>
    <n v="0.16363636363636364"/>
    <n v="31.818181818181817"/>
    <n v="15400"/>
    <n v="490"/>
    <n v="381"/>
    <n v="195"/>
    <n v="55"/>
    <n v="9"/>
    <n v="65"/>
  </r>
  <r>
    <d v="2025-05-14T00:00:00"/>
    <x v="7"/>
    <x v="5"/>
    <n v="20"/>
    <x v="0"/>
    <n v="3.2258064516129031E-2"/>
    <n v="35.809104448617497"/>
    <n v="15443"/>
    <n v="553"/>
    <n v="394"/>
    <n v="147"/>
    <n v="62"/>
    <n v="2"/>
    <n v="70"/>
  </r>
  <r>
    <d v="2025-05-13T00:00:00"/>
    <x v="7"/>
    <x v="6"/>
    <n v="20"/>
    <x v="0"/>
    <n v="5.3571428571428568E-2"/>
    <n v="33.891651400157031"/>
    <n v="15284"/>
    <n v="518"/>
    <n v="444"/>
    <n v="208"/>
    <n v="56"/>
    <n v="3"/>
    <n v="58"/>
  </r>
  <r>
    <d v="2025-05-12T00:00:00"/>
    <x v="7"/>
    <x v="0"/>
    <n v="20"/>
    <x v="0"/>
    <n v="0.10714285714285714"/>
    <n v="39.813824768853387"/>
    <n v="15899"/>
    <n v="633"/>
    <n v="374"/>
    <n v="360"/>
    <n v="56"/>
    <n v="6"/>
    <n v="58"/>
  </r>
  <r>
    <d v="2025-05-11T00:00:00"/>
    <x v="7"/>
    <x v="1"/>
    <n v="19"/>
    <x v="1"/>
    <n v="6.8181818181818177E-2"/>
    <n v="39.297409943435547"/>
    <n v="13436"/>
    <n v="528"/>
    <n v="211"/>
    <n v="261"/>
    <n v="44"/>
    <n v="3"/>
    <n v="51"/>
  </r>
  <r>
    <d v="2025-05-10T00:00:00"/>
    <x v="7"/>
    <x v="2"/>
    <n v="19"/>
    <x v="1"/>
    <n v="3.7037037037037035E-2"/>
    <n v="33.408408408408413"/>
    <n v="15984"/>
    <n v="534"/>
    <n v="226"/>
    <n v="285"/>
    <n v="54"/>
    <n v="2"/>
    <n v="59"/>
  </r>
  <r>
    <d v="2025-05-09T00:00:00"/>
    <x v="7"/>
    <x v="3"/>
    <n v="19"/>
    <x v="0"/>
    <n v="0.13793103448275862"/>
    <n v="34.104603518920221"/>
    <n v="16596"/>
    <n v="566"/>
    <n v="407"/>
    <n v="231"/>
    <n v="58"/>
    <n v="8"/>
    <n v="66"/>
  </r>
  <r>
    <d v="2025-05-08T00:00:00"/>
    <x v="7"/>
    <x v="4"/>
    <n v="19"/>
    <x v="0"/>
    <n v="6.7796610169491525E-2"/>
    <n v="31.707793476137766"/>
    <n v="15359"/>
    <n v="487"/>
    <n v="439"/>
    <n v="182"/>
    <n v="59"/>
    <n v="4"/>
    <n v="63"/>
  </r>
  <r>
    <d v="2025-05-07T00:00:00"/>
    <x v="7"/>
    <x v="5"/>
    <n v="19"/>
    <x v="0"/>
    <n v="8.3333333333333329E-2"/>
    <n v="33.277647844971597"/>
    <n v="14965"/>
    <n v="498"/>
    <n v="416"/>
    <n v="217"/>
    <n v="60"/>
    <n v="5"/>
    <n v="68"/>
  </r>
  <r>
    <d v="2025-05-06T00:00:00"/>
    <x v="7"/>
    <x v="6"/>
    <n v="19"/>
    <x v="0"/>
    <n v="3.9215686274509803E-2"/>
    <n v="33.436908943528778"/>
    <n v="14804"/>
    <n v="495"/>
    <n v="392"/>
    <n v="175"/>
    <n v="51"/>
    <n v="2"/>
    <n v="61"/>
  </r>
  <r>
    <d v="2025-05-05T00:00:00"/>
    <x v="7"/>
    <x v="0"/>
    <n v="19"/>
    <x v="0"/>
    <n v="5.2631578947368418E-2"/>
    <n v="42.536007538026652"/>
    <n v="14858"/>
    <n v="632"/>
    <n v="299"/>
    <n v="421"/>
    <n v="57"/>
    <n v="3"/>
    <n v="62"/>
  </r>
  <r>
    <d v="2025-05-04T00:00:00"/>
    <x v="7"/>
    <x v="1"/>
    <n v="18"/>
    <x v="1"/>
    <n v="0.10256410256410256"/>
    <n v="41.239515377446409"/>
    <n v="12876"/>
    <n v="531"/>
    <n v="197"/>
    <n v="312"/>
    <n v="39"/>
    <n v="4"/>
    <n v="51"/>
  </r>
  <r>
    <d v="2025-05-03T00:00:00"/>
    <x v="7"/>
    <x v="2"/>
    <n v="18"/>
    <x v="1"/>
    <n v="6.1538461538461542E-2"/>
    <n v="39.589156861470457"/>
    <n v="15383"/>
    <n v="609"/>
    <n v="199"/>
    <n v="366"/>
    <n v="65"/>
    <n v="4"/>
    <n v="83"/>
  </r>
  <r>
    <d v="2025-05-02T00:00:00"/>
    <x v="7"/>
    <x v="3"/>
    <n v="18"/>
    <x v="0"/>
    <n v="5.5555555555555552E-2"/>
    <n v="39.375928677563152"/>
    <n v="17498"/>
    <n v="689"/>
    <n v="297"/>
    <n v="366"/>
    <n v="72"/>
    <n v="4"/>
    <n v="93"/>
  </r>
  <r>
    <d v="2025-05-01T00:00:00"/>
    <x v="7"/>
    <x v="4"/>
    <n v="18"/>
    <x v="0"/>
    <n v="8.1967213114754092E-2"/>
    <n v="34.44158129595877"/>
    <n v="15911"/>
    <n v="548"/>
    <n v="228"/>
    <n v="334"/>
    <n v="61"/>
    <n v="5"/>
    <n v="65"/>
  </r>
  <r>
    <d v="2025-04-30T00:00:00"/>
    <x v="8"/>
    <x v="5"/>
    <n v="18"/>
    <x v="0"/>
    <n v="4.2253521126760563E-2"/>
    <n v="29.54924874791319"/>
    <n v="17970"/>
    <n v="531"/>
    <n v="366"/>
    <n v="250"/>
    <n v="71"/>
    <n v="3"/>
    <n v="91"/>
  </r>
  <r>
    <d v="2025-04-29T00:00:00"/>
    <x v="8"/>
    <x v="6"/>
    <n v="18"/>
    <x v="0"/>
    <n v="2.8985507246376812E-2"/>
    <n v="33.765889830508478"/>
    <n v="15104"/>
    <n v="510"/>
    <n v="338"/>
    <n v="222"/>
    <n v="69"/>
    <n v="2"/>
    <n v="92"/>
  </r>
  <r>
    <d v="2025-04-28T00:00:00"/>
    <x v="8"/>
    <x v="0"/>
    <n v="18"/>
    <x v="0"/>
    <n v="2.4096385542168676E-2"/>
    <n v="36.16054524801212"/>
    <n v="15846"/>
    <n v="573"/>
    <n v="387"/>
    <n v="286"/>
    <n v="83"/>
    <n v="2"/>
    <n v="96"/>
  </r>
  <r>
    <d v="2025-04-27T00:00:00"/>
    <x v="8"/>
    <x v="1"/>
    <n v="17"/>
    <x v="1"/>
    <n v="0"/>
    <n v="37.437784029430865"/>
    <n v="13863"/>
    <n v="519"/>
    <n v="206"/>
    <n v="253"/>
    <n v="55"/>
    <n v="0"/>
    <n v="64"/>
  </r>
  <r>
    <d v="2025-04-26T00:00:00"/>
    <x v="8"/>
    <x v="2"/>
    <n v="17"/>
    <x v="1"/>
    <n v="1.7543859649122806E-2"/>
    <n v="32.676477924669499"/>
    <n v="16036"/>
    <n v="524"/>
    <n v="221"/>
    <n v="277"/>
    <n v="57"/>
    <n v="1"/>
    <n v="78"/>
  </r>
  <r>
    <d v="2025-04-25T00:00:00"/>
    <x v="8"/>
    <x v="3"/>
    <n v="17"/>
    <x v="0"/>
    <n v="5.9701492537313432E-2"/>
    <n v="31.030550387131626"/>
    <n v="16661"/>
    <n v="517"/>
    <n v="504"/>
    <n v="213"/>
    <n v="67"/>
    <n v="4"/>
    <n v="78"/>
  </r>
  <r>
    <d v="2025-04-24T00:00:00"/>
    <x v="8"/>
    <x v="4"/>
    <n v="17"/>
    <x v="0"/>
    <n v="1.6666666666666666E-2"/>
    <n v="34.655609876848814"/>
    <n v="16159"/>
    <n v="560"/>
    <n v="488"/>
    <n v="201"/>
    <n v="60"/>
    <n v="1"/>
    <n v="71"/>
  </r>
  <r>
    <d v="2025-04-23T00:00:00"/>
    <x v="8"/>
    <x v="5"/>
    <n v="17"/>
    <x v="0"/>
    <n v="3.0769230769230771E-2"/>
    <n v="36.10569897710667"/>
    <n v="16424"/>
    <n v="593"/>
    <n v="437"/>
    <n v="261"/>
    <n v="65"/>
    <n v="2"/>
    <n v="80"/>
  </r>
  <r>
    <d v="2025-04-22T00:00:00"/>
    <x v="8"/>
    <x v="6"/>
    <n v="17"/>
    <x v="0"/>
    <n v="7.6923076923076927E-2"/>
    <n v="46.020192533458555"/>
    <n v="17036"/>
    <n v="784"/>
    <n v="422"/>
    <n v="637"/>
    <n v="52"/>
    <n v="4"/>
    <n v="55"/>
  </r>
  <r>
    <d v="2025-04-21T00:00:00"/>
    <x v="8"/>
    <x v="0"/>
    <n v="17"/>
    <x v="0"/>
    <n v="7.0422535211267609E-2"/>
    <n v="37.179487179487182"/>
    <n v="14820"/>
    <n v="551"/>
    <n v="220"/>
    <n v="356"/>
    <n v="71"/>
    <n v="5"/>
    <n v="85"/>
  </r>
  <r>
    <d v="2025-04-20T00:00:00"/>
    <x v="8"/>
    <x v="1"/>
    <n v="16"/>
    <x v="1"/>
    <n v="0.08"/>
    <n v="33.249301628398179"/>
    <n v="14677"/>
    <n v="488"/>
    <n v="196"/>
    <n v="291"/>
    <n v="50"/>
    <n v="4"/>
    <n v="62"/>
  </r>
  <r>
    <d v="2025-04-19T00:00:00"/>
    <x v="8"/>
    <x v="2"/>
    <n v="16"/>
    <x v="1"/>
    <n v="7.8431372549019607E-2"/>
    <n v="36.567078094359211"/>
    <n v="17338"/>
    <n v="634"/>
    <n v="286"/>
    <n v="371"/>
    <n v="51"/>
    <n v="4"/>
    <n v="60"/>
  </r>
  <r>
    <d v="2025-04-18T00:00:00"/>
    <x v="8"/>
    <x v="3"/>
    <n v="16"/>
    <x v="0"/>
    <n v="4.3478260869565216E-2"/>
    <n v="32.408325074331024"/>
    <n v="20180"/>
    <n v="654"/>
    <n v="548"/>
    <n v="339"/>
    <n v="69"/>
    <n v="3"/>
    <n v="72"/>
  </r>
  <r>
    <d v="2025-04-17T00:00:00"/>
    <x v="8"/>
    <x v="4"/>
    <n v="16"/>
    <x v="0"/>
    <n v="1.1904761904761904E-2"/>
    <n v="34.186241610738257"/>
    <n v="19072"/>
    <n v="652"/>
    <n v="478"/>
    <n v="302"/>
    <n v="84"/>
    <n v="1"/>
    <n v="98"/>
  </r>
  <r>
    <d v="2025-04-16T00:00:00"/>
    <x v="8"/>
    <x v="5"/>
    <n v="16"/>
    <x v="0"/>
    <n v="8.8235294117647065E-2"/>
    <n v="31.945895419805353"/>
    <n v="18187"/>
    <n v="581"/>
    <n v="502"/>
    <n v="252"/>
    <n v="102"/>
    <n v="9"/>
    <n v="107"/>
  </r>
  <r>
    <d v="2025-04-15T00:00:00"/>
    <x v="8"/>
    <x v="6"/>
    <n v="16"/>
    <x v="0"/>
    <n v="3.2786885245901641E-2"/>
    <n v="36.078717201166185"/>
    <n v="16464"/>
    <n v="594"/>
    <n v="423"/>
    <n v="252"/>
    <n v="61"/>
    <n v="2"/>
    <n v="71"/>
  </r>
  <r>
    <d v="2025-04-14T00:00:00"/>
    <x v="8"/>
    <x v="0"/>
    <n v="16"/>
    <x v="0"/>
    <n v="4.2253521126760563E-2"/>
    <n v="38.59146865158889"/>
    <n v="17465"/>
    <n v="674"/>
    <n v="403"/>
    <n v="419"/>
    <n v="71"/>
    <n v="3"/>
    <n v="84"/>
  </r>
  <r>
    <d v="2025-04-13T00:00:00"/>
    <x v="8"/>
    <x v="1"/>
    <n v="15"/>
    <x v="1"/>
    <n v="2.8985507246376812E-2"/>
    <n v="38.939157566302654"/>
    <n v="16025"/>
    <n v="624"/>
    <n v="211"/>
    <n v="306"/>
    <n v="69"/>
    <n v="2"/>
    <n v="77"/>
  </r>
  <r>
    <d v="2025-04-12T00:00:00"/>
    <x v="8"/>
    <x v="2"/>
    <n v="15"/>
    <x v="1"/>
    <n v="1.7857142857142856E-2"/>
    <n v="35.615010423905488"/>
    <n v="17268"/>
    <n v="615"/>
    <n v="226"/>
    <n v="299"/>
    <n v="56"/>
    <n v="1"/>
    <n v="72"/>
  </r>
  <r>
    <d v="2025-04-11T00:00:00"/>
    <x v="8"/>
    <x v="3"/>
    <n v="15"/>
    <x v="0"/>
    <n v="5.6603773584905662E-2"/>
    <n v="36.984961486734313"/>
    <n v="16358"/>
    <n v="605"/>
    <n v="436"/>
    <n v="237"/>
    <n v="53"/>
    <n v="3"/>
    <n v="60"/>
  </r>
  <r>
    <d v="2025-04-10T00:00:00"/>
    <x v="8"/>
    <x v="4"/>
    <n v="15"/>
    <x v="0"/>
    <n v="0.1"/>
    <n v="37.221970040853385"/>
    <n v="15421"/>
    <n v="574"/>
    <n v="411"/>
    <n v="200"/>
    <n v="40"/>
    <n v="4"/>
    <n v="40"/>
  </r>
  <r>
    <d v="2025-04-09T00:00:00"/>
    <x v="8"/>
    <x v="5"/>
    <n v="15"/>
    <x v="0"/>
    <n v="8.1632653061224483E-2"/>
    <n v="33.696605286233243"/>
    <n v="15966"/>
    <n v="538"/>
    <n v="465"/>
    <n v="187"/>
    <n v="49"/>
    <n v="4"/>
    <n v="55"/>
  </r>
  <r>
    <d v="2025-04-08T00:00:00"/>
    <x v="8"/>
    <x v="6"/>
    <n v="15"/>
    <x v="0"/>
    <n v="0.1"/>
    <n v="35.92336349121873"/>
    <n v="15032"/>
    <n v="540"/>
    <n v="483"/>
    <n v="192"/>
    <n v="40"/>
    <n v="4"/>
    <n v="43"/>
  </r>
  <r>
    <d v="2025-04-07T00:00:00"/>
    <x v="8"/>
    <x v="0"/>
    <n v="15"/>
    <x v="0"/>
    <n v="0.13953488372093023"/>
    <n v="38.95576897064791"/>
    <n v="14786"/>
    <n v="576"/>
    <n v="393"/>
    <n v="287"/>
    <n v="43"/>
    <n v="6"/>
    <n v="42"/>
  </r>
  <r>
    <d v="2025-04-06T00:00:00"/>
    <x v="8"/>
    <x v="1"/>
    <n v="14"/>
    <x v="1"/>
    <n v="8.6956521739130432E-2"/>
    <n v="41.310909874946091"/>
    <n v="11595"/>
    <n v="479"/>
    <n v="198"/>
    <n v="245"/>
    <n v="23"/>
    <n v="2"/>
    <n v="28"/>
  </r>
  <r>
    <d v="2025-04-05T00:00:00"/>
    <x v="8"/>
    <x v="2"/>
    <n v="14"/>
    <x v="1"/>
    <n v="0.02"/>
    <n v="37.781954887218049"/>
    <n v="15960"/>
    <n v="603"/>
    <n v="240"/>
    <n v="304"/>
    <n v="50"/>
    <n v="1"/>
    <n v="62"/>
  </r>
  <r>
    <d v="2025-04-04T00:00:00"/>
    <x v="8"/>
    <x v="3"/>
    <n v="14"/>
    <x v="0"/>
    <n v="2.6315789473684209E-2"/>
    <n v="34.707395850440683"/>
    <n v="18267"/>
    <n v="634"/>
    <n v="420"/>
    <n v="270"/>
    <n v="76"/>
    <n v="2"/>
    <n v="94"/>
  </r>
  <r>
    <d v="2025-04-03T00:00:00"/>
    <x v="8"/>
    <x v="4"/>
    <n v="14"/>
    <x v="0"/>
    <n v="7.6923076923076927E-2"/>
    <n v="35.662824207492797"/>
    <n v="16656"/>
    <n v="594"/>
    <n v="470"/>
    <n v="260"/>
    <n v="78"/>
    <n v="6"/>
    <n v="82"/>
  </r>
  <r>
    <d v="2025-04-02T00:00:00"/>
    <x v="8"/>
    <x v="5"/>
    <n v="14"/>
    <x v="0"/>
    <n v="3.7735849056603772E-2"/>
    <n v="36.554674720020138"/>
    <n v="15894"/>
    <n v="581"/>
    <n v="468"/>
    <n v="251"/>
    <n v="53"/>
    <n v="2"/>
    <n v="56"/>
  </r>
  <r>
    <d v="2025-04-01T00:00:00"/>
    <x v="8"/>
    <x v="6"/>
    <n v="14"/>
    <x v="0"/>
    <n v="2.1739130434782608E-2"/>
    <n v="36.258299700559824"/>
    <n v="15362"/>
    <n v="557"/>
    <n v="481"/>
    <n v="194"/>
    <n v="46"/>
    <n v="1"/>
    <n v="56"/>
  </r>
  <r>
    <d v="2025-03-31T00:00:00"/>
    <x v="9"/>
    <x v="0"/>
    <n v="14"/>
    <x v="0"/>
    <n v="2.564102564102564E-2"/>
    <n v="37.965425531914889"/>
    <n v="15040"/>
    <n v="571"/>
    <n v="389"/>
    <n v="282"/>
    <n v="39"/>
    <n v="1"/>
    <n v="54"/>
  </r>
  <r>
    <d v="2025-03-30T00:00:00"/>
    <x v="9"/>
    <x v="1"/>
    <n v="13"/>
    <x v="1"/>
    <n v="8.1081081081081086E-2"/>
    <n v="36.234128213069063"/>
    <n v="12916"/>
    <n v="468"/>
    <n v="200"/>
    <n v="310"/>
    <n v="37"/>
    <n v="3"/>
    <n v="50"/>
  </r>
  <r>
    <d v="2025-03-29T00:00:00"/>
    <x v="9"/>
    <x v="2"/>
    <n v="13"/>
    <x v="1"/>
    <n v="6.25E-2"/>
    <n v="35.236866791744845"/>
    <n v="17056"/>
    <n v="601"/>
    <n v="271"/>
    <n v="313"/>
    <n v="48"/>
    <n v="3"/>
    <n v="54"/>
  </r>
  <r>
    <d v="2025-03-28T00:00:00"/>
    <x v="9"/>
    <x v="3"/>
    <n v="13"/>
    <x v="0"/>
    <n v="0"/>
    <n v="31.570549350353318"/>
    <n v="17548"/>
    <n v="554"/>
    <n v="473"/>
    <n v="225"/>
    <n v="51"/>
    <n v="0"/>
    <n v="67"/>
  </r>
  <r>
    <d v="2025-03-27T00:00:00"/>
    <x v="9"/>
    <x v="4"/>
    <n v="13"/>
    <x v="0"/>
    <n v="4.5454545454545456E-2"/>
    <n v="39.199332777314432"/>
    <n v="15587"/>
    <n v="611"/>
    <n v="464"/>
    <n v="260"/>
    <n v="44"/>
    <n v="2"/>
    <n v="60"/>
  </r>
  <r>
    <d v="2025-03-26T00:00:00"/>
    <x v="9"/>
    <x v="5"/>
    <n v="13"/>
    <x v="0"/>
    <n v="2.7027027027027029E-2"/>
    <n v="37.982805081483384"/>
    <n v="15586"/>
    <n v="592"/>
    <n v="478"/>
    <n v="210"/>
    <n v="37"/>
    <n v="1"/>
    <n v="37"/>
  </r>
  <r>
    <d v="2025-03-25T00:00:00"/>
    <x v="9"/>
    <x v="6"/>
    <n v="13"/>
    <x v="0"/>
    <n v="2.7027027027027029E-2"/>
    <n v="33.712925432670652"/>
    <n v="15543"/>
    <n v="524"/>
    <n v="451"/>
    <n v="201"/>
    <n v="37"/>
    <n v="1"/>
    <n v="49"/>
  </r>
  <r>
    <d v="2025-03-24T00:00:00"/>
    <x v="9"/>
    <x v="0"/>
    <n v="13"/>
    <x v="0"/>
    <n v="5.4054054054054057E-2"/>
    <n v="34.711181770005297"/>
    <n v="15096"/>
    <n v="524"/>
    <n v="364"/>
    <n v="267"/>
    <n v="37"/>
    <n v="2"/>
    <n v="43"/>
  </r>
  <r>
    <d v="2025-03-23T00:00:00"/>
    <x v="9"/>
    <x v="1"/>
    <n v="12"/>
    <x v="1"/>
    <n v="8.1081081081081086E-2"/>
    <n v="43.731100255873457"/>
    <n v="12897"/>
    <n v="564"/>
    <n v="246"/>
    <n v="301"/>
    <n v="37"/>
    <n v="3"/>
    <n v="44"/>
  </r>
  <r>
    <d v="2025-03-22T00:00:00"/>
    <x v="9"/>
    <x v="2"/>
    <n v="12"/>
    <x v="1"/>
    <n v="1.8518518518518517E-2"/>
    <n v="34.926140781053768"/>
    <n v="16721"/>
    <n v="584"/>
    <n v="281"/>
    <n v="300"/>
    <n v="54"/>
    <n v="1"/>
    <n v="69"/>
  </r>
  <r>
    <d v="2025-03-21T00:00:00"/>
    <x v="9"/>
    <x v="3"/>
    <n v="12"/>
    <x v="0"/>
    <n v="0.10526315789473684"/>
    <n v="36.450167973124302"/>
    <n v="17860"/>
    <n v="651"/>
    <n v="403"/>
    <n v="282"/>
    <n v="57"/>
    <n v="6"/>
    <n v="66"/>
  </r>
  <r>
    <d v="2025-03-20T00:00:00"/>
    <x v="9"/>
    <x v="4"/>
    <n v="12"/>
    <x v="0"/>
    <n v="4.1666666666666664E-2"/>
    <n v="38.714073339940533"/>
    <n v="16144"/>
    <n v="625"/>
    <n v="443"/>
    <n v="243"/>
    <n v="72"/>
    <n v="3"/>
    <n v="81"/>
  </r>
  <r>
    <d v="2025-03-19T00:00:00"/>
    <x v="9"/>
    <x v="5"/>
    <n v="12"/>
    <x v="0"/>
    <n v="2.2727272727272728E-2"/>
    <n v="38.459001253380826"/>
    <n v="15159"/>
    <n v="583"/>
    <n v="435"/>
    <n v="204"/>
    <n v="44"/>
    <n v="1"/>
    <n v="47"/>
  </r>
  <r>
    <d v="2025-03-18T00:00:00"/>
    <x v="9"/>
    <x v="6"/>
    <n v="12"/>
    <x v="0"/>
    <n v="4.7619047619047616E-2"/>
    <n v="37.780247074972216"/>
    <n v="15299"/>
    <n v="578"/>
    <n v="789"/>
    <n v="201"/>
    <n v="42"/>
    <n v="2"/>
    <n v="52"/>
  </r>
  <r>
    <d v="2025-03-17T00:00:00"/>
    <x v="9"/>
    <x v="0"/>
    <n v="12"/>
    <x v="0"/>
    <n v="6.25E-2"/>
    <n v="31.569555967332374"/>
    <n v="14571"/>
    <n v="460"/>
    <n v="385"/>
    <n v="178"/>
    <n v="48"/>
    <n v="3"/>
    <n v="57"/>
  </r>
  <r>
    <d v="2025-03-16T00:00:00"/>
    <x v="9"/>
    <x v="1"/>
    <n v="11"/>
    <x v="1"/>
    <n v="0.10526315789473684"/>
    <n v="42.525174283501158"/>
    <n v="12910"/>
    <n v="549"/>
    <n v="241"/>
    <n v="288"/>
    <n v="38"/>
    <n v="4"/>
    <n v="43"/>
  </r>
  <r>
    <d v="2025-03-15T00:00:00"/>
    <x v="9"/>
    <x v="2"/>
    <n v="11"/>
    <x v="1"/>
    <n v="0.1"/>
    <n v="36.113276175630034"/>
    <n v="15396"/>
    <n v="556"/>
    <n v="263"/>
    <n v="245"/>
    <n v="50"/>
    <n v="5"/>
    <n v="70"/>
  </r>
  <r>
    <d v="2025-03-14T00:00:00"/>
    <x v="9"/>
    <x v="3"/>
    <n v="11"/>
    <x v="0"/>
    <n v="8.5106382978723402E-2"/>
    <n v="35.026822341432634"/>
    <n v="15845"/>
    <n v="555"/>
    <n v="390"/>
    <n v="225"/>
    <n v="47"/>
    <n v="4"/>
    <n v="52"/>
  </r>
  <r>
    <d v="2025-03-13T00:00:00"/>
    <x v="9"/>
    <x v="4"/>
    <n v="11"/>
    <x v="0"/>
    <n v="9.5238095238095233E-2"/>
    <n v="41.817450743868115"/>
    <n v="14922"/>
    <n v="624"/>
    <n v="428"/>
    <n v="265"/>
    <n v="63"/>
    <n v="6"/>
    <n v="71"/>
  </r>
  <r>
    <d v="2025-03-12T00:00:00"/>
    <x v="9"/>
    <x v="5"/>
    <n v="11"/>
    <x v="0"/>
    <n v="0.13333333333333333"/>
    <n v="38.356164383561648"/>
    <n v="15695"/>
    <n v="602"/>
    <n v="469"/>
    <n v="213"/>
    <n v="45"/>
    <n v="6"/>
    <n v="46"/>
  </r>
  <r>
    <d v="2025-03-11T00:00:00"/>
    <x v="9"/>
    <x v="6"/>
    <n v="11"/>
    <x v="0"/>
    <n v="8.5106382978723402E-2"/>
    <n v="38.356164383561648"/>
    <n v="15695"/>
    <n v="602"/>
    <n v="437"/>
    <n v="246"/>
    <n v="47"/>
    <n v="4"/>
    <n v="52"/>
  </r>
  <r>
    <d v="2025-03-10T00:00:00"/>
    <x v="9"/>
    <x v="0"/>
    <n v="11"/>
    <x v="0"/>
    <n v="4.0816326530612242E-2"/>
    <n v="42.919243249862248"/>
    <n v="16333"/>
    <n v="701"/>
    <n v="386"/>
    <n v="401"/>
    <n v="49"/>
    <n v="2"/>
    <n v="50"/>
  </r>
  <r>
    <d v="2025-03-09T00:00:00"/>
    <x v="9"/>
    <x v="1"/>
    <n v="10"/>
    <x v="1"/>
    <n v="0.15555555555555556"/>
    <n v="36.922861346598474"/>
    <n v="14273"/>
    <n v="527"/>
    <n v="243"/>
    <n v="284"/>
    <n v="45"/>
    <n v="7"/>
    <n v="44"/>
  </r>
  <r>
    <d v="2025-03-08T00:00:00"/>
    <x v="9"/>
    <x v="2"/>
    <n v="10"/>
    <x v="1"/>
    <n v="0.11864406779661017"/>
    <n v="34.352649659289298"/>
    <n v="17757"/>
    <n v="610"/>
    <n v="248"/>
    <n v="314"/>
    <n v="59"/>
    <n v="7"/>
    <n v="65"/>
  </r>
  <r>
    <d v="2025-03-07T00:00:00"/>
    <x v="9"/>
    <x v="3"/>
    <n v="10"/>
    <x v="0"/>
    <n v="4.1095890410958902E-2"/>
    <n v="30.907735535294453"/>
    <n v="17439"/>
    <n v="539"/>
    <n v="404"/>
    <n v="217"/>
    <n v="73"/>
    <n v="3"/>
    <n v="78"/>
  </r>
  <r>
    <d v="2025-03-06T00:00:00"/>
    <x v="9"/>
    <x v="4"/>
    <n v="10"/>
    <x v="0"/>
    <n v="0.11290322580645161"/>
    <n v="33.542319749216304"/>
    <n v="15950"/>
    <n v="535"/>
    <n v="431"/>
    <n v="211"/>
    <n v="62"/>
    <n v="7"/>
    <n v="72"/>
  </r>
  <r>
    <d v="2025-03-05T00:00:00"/>
    <x v="9"/>
    <x v="5"/>
    <n v="10"/>
    <x v="0"/>
    <n v="4.6511627906976744E-2"/>
    <n v="39.219512195121951"/>
    <n v="15375"/>
    <n v="603"/>
    <n v="430"/>
    <n v="252"/>
    <n v="43"/>
    <n v="2"/>
    <n v="46"/>
  </r>
  <r>
    <d v="2025-03-04T00:00:00"/>
    <x v="9"/>
    <x v="6"/>
    <n v="10"/>
    <x v="0"/>
    <n v="0.1111111111111111"/>
    <n v="36.753040719196193"/>
    <n v="15128"/>
    <n v="556"/>
    <n v="462"/>
    <n v="236"/>
    <n v="27"/>
    <n v="3"/>
    <n v="29"/>
  </r>
  <r>
    <d v="2025-03-03T00:00:00"/>
    <x v="9"/>
    <x v="0"/>
    <n v="10"/>
    <x v="0"/>
    <n v="0.13513513513513514"/>
    <n v="47.307430129516021"/>
    <n v="14670"/>
    <n v="694"/>
    <n v="364"/>
    <n v="393"/>
    <n v="37"/>
    <n v="5"/>
    <n v="45"/>
  </r>
  <r>
    <d v="2025-03-02T00:00:00"/>
    <x v="9"/>
    <x v="1"/>
    <n v="9"/>
    <x v="1"/>
    <n v="0.19047619047619047"/>
    <n v="45.868493608488599"/>
    <n v="11969"/>
    <n v="549"/>
    <n v="232"/>
    <n v="287"/>
    <n v="21"/>
    <n v="4"/>
    <n v="22"/>
  </r>
  <r>
    <d v="2025-03-01T00:00:00"/>
    <x v="9"/>
    <x v="2"/>
    <n v="9"/>
    <x v="1"/>
    <n v="0.11627906976744186"/>
    <n v="35.835023664638271"/>
    <n v="14790"/>
    <n v="530"/>
    <n v="250"/>
    <n v="221"/>
    <n v="43"/>
    <n v="5"/>
    <n v="58"/>
  </r>
  <r>
    <d v="2025-02-28T00:00:00"/>
    <x v="10"/>
    <x v="3"/>
    <n v="9"/>
    <x v="0"/>
    <n v="0"/>
    <n v="36.418535863938871"/>
    <n v="16228"/>
    <n v="591"/>
    <n v="439"/>
    <n v="277"/>
    <n v="39"/>
    <n v="0"/>
    <n v="47"/>
  </r>
  <r>
    <d v="2025-02-27T00:00:00"/>
    <x v="10"/>
    <x v="4"/>
    <n v="9"/>
    <x v="0"/>
    <n v="5.8823529411764705E-2"/>
    <n v="39.125508231687"/>
    <n v="15003"/>
    <n v="587"/>
    <n v="466"/>
    <n v="224"/>
    <n v="51"/>
    <n v="3"/>
    <n v="57"/>
  </r>
  <r>
    <d v="2025-02-26T00:00:00"/>
    <x v="10"/>
    <x v="5"/>
    <n v="9"/>
    <x v="0"/>
    <n v="0.1"/>
    <n v="36.837913181999198"/>
    <n v="15066"/>
    <n v="555"/>
    <n v="454"/>
    <n v="202"/>
    <n v="40"/>
    <n v="4"/>
    <n v="47"/>
  </r>
  <r>
    <d v="2025-02-25T00:00:00"/>
    <x v="10"/>
    <x v="6"/>
    <n v="9"/>
    <x v="0"/>
    <n v="9.5238095238095233E-2"/>
    <n v="34.575722855024601"/>
    <n v="14837"/>
    <n v="513"/>
    <n v="436"/>
    <n v="194"/>
    <n v="42"/>
    <n v="4"/>
    <n v="40"/>
  </r>
  <r>
    <d v="2025-02-24T00:00:00"/>
    <x v="10"/>
    <x v="0"/>
    <n v="9"/>
    <x v="0"/>
    <n v="0.20408163265306123"/>
    <n v="38.820605816374503"/>
    <n v="14889"/>
    <n v="578"/>
    <n v="376"/>
    <n v="287"/>
    <n v="49"/>
    <n v="10"/>
    <n v="61"/>
  </r>
  <r>
    <d v="2025-02-23T00:00:00"/>
    <x v="10"/>
    <x v="1"/>
    <n v="8"/>
    <x v="1"/>
    <n v="0.1111111111111111"/>
    <n v="39.330279576686145"/>
    <n v="12662"/>
    <n v="498"/>
    <n v="194"/>
    <n v="246"/>
    <n v="18"/>
    <n v="2"/>
    <n v="20"/>
  </r>
  <r>
    <d v="2025-02-22T00:00:00"/>
    <x v="10"/>
    <x v="2"/>
    <n v="8"/>
    <x v="1"/>
    <n v="6.8965517241379309E-2"/>
    <n v="30.512904279647174"/>
    <n v="15305"/>
    <n v="467"/>
    <n v="259"/>
    <n v="216"/>
    <n v="29"/>
    <n v="2"/>
    <n v="37"/>
  </r>
  <r>
    <d v="2025-02-21T00:00:00"/>
    <x v="10"/>
    <x v="3"/>
    <n v="8"/>
    <x v="0"/>
    <n v="2.6315789473684209E-2"/>
    <n v="37.350789372352715"/>
    <n v="15582"/>
    <n v="582"/>
    <n v="439"/>
    <n v="198"/>
    <n v="38"/>
    <n v="1"/>
    <n v="47"/>
  </r>
  <r>
    <d v="2025-02-20T00:00:00"/>
    <x v="10"/>
    <x v="4"/>
    <n v="8"/>
    <x v="0"/>
    <n v="2.1739130434782608E-2"/>
    <n v="33.172746042670333"/>
    <n v="14530"/>
    <n v="482"/>
    <n v="452"/>
    <n v="176"/>
    <n v="46"/>
    <n v="1"/>
    <n v="56"/>
  </r>
  <r>
    <d v="2025-02-19T00:00:00"/>
    <x v="10"/>
    <x v="5"/>
    <n v="8"/>
    <x v="0"/>
    <n v="5.5555555555555552E-2"/>
    <n v="38.388367984780544"/>
    <n v="14718"/>
    <n v="565"/>
    <n v="419"/>
    <n v="170"/>
    <n v="36"/>
    <n v="2"/>
    <n v="37"/>
  </r>
  <r>
    <d v="2025-02-18T00:00:00"/>
    <x v="10"/>
    <x v="6"/>
    <n v="8"/>
    <x v="0"/>
    <n v="0.12727272727272726"/>
    <n v="33.155080213903744"/>
    <n v="14025"/>
    <n v="465"/>
    <n v="414"/>
    <n v="148"/>
    <n v="55"/>
    <n v="7"/>
    <n v="66"/>
  </r>
  <r>
    <d v="2025-02-17T00:00:00"/>
    <x v="10"/>
    <x v="0"/>
    <n v="8"/>
    <x v="0"/>
    <n v="8.6956521739130432E-2"/>
    <n v="36.167647684561373"/>
    <n v="14101"/>
    <n v="510"/>
    <n v="353"/>
    <n v="197"/>
    <n v="46"/>
    <n v="4"/>
    <n v="50"/>
  </r>
  <r>
    <d v="2025-02-16T00:00:00"/>
    <x v="10"/>
    <x v="1"/>
    <n v="7"/>
    <x v="1"/>
    <n v="7.6923076923076927E-2"/>
    <n v="40.013592727890583"/>
    <n v="11771"/>
    <n v="471"/>
    <n v="207"/>
    <n v="212"/>
    <n v="26"/>
    <n v="2"/>
    <n v="37"/>
  </r>
  <r>
    <d v="2025-02-15T00:00:00"/>
    <x v="10"/>
    <x v="2"/>
    <n v="7"/>
    <x v="1"/>
    <n v="0.05"/>
    <n v="37.230388789668908"/>
    <n v="14558"/>
    <n v="542"/>
    <n v="279"/>
    <n v="259"/>
    <n v="40"/>
    <n v="2"/>
    <n v="52"/>
  </r>
  <r>
    <d v="2025-02-14T00:00:00"/>
    <x v="10"/>
    <x v="3"/>
    <n v="7"/>
    <x v="0"/>
    <n v="4.1666666666666664E-2"/>
    <n v="30.445111277819457"/>
    <n v="15996"/>
    <n v="487"/>
    <n v="800"/>
    <n v="185"/>
    <n v="48"/>
    <n v="2"/>
    <n v="55"/>
  </r>
  <r>
    <d v="2025-02-13T00:00:00"/>
    <x v="10"/>
    <x v="4"/>
    <n v="7"/>
    <x v="0"/>
    <n v="7.8947368421052627E-2"/>
    <n v="33.236228813559322"/>
    <n v="15104"/>
    <n v="502"/>
    <n v="926"/>
    <n v="161"/>
    <n v="38"/>
    <n v="3"/>
    <n v="45"/>
  </r>
  <r>
    <d v="2025-02-12T00:00:00"/>
    <x v="10"/>
    <x v="5"/>
    <n v="7"/>
    <x v="0"/>
    <n v="0.15384615384615385"/>
    <n v="36.927728188885695"/>
    <n v="13892"/>
    <n v="513"/>
    <n v="384"/>
    <n v="205"/>
    <n v="26"/>
    <n v="4"/>
    <n v="24"/>
  </r>
  <r>
    <d v="2025-02-11T00:00:00"/>
    <x v="10"/>
    <x v="6"/>
    <n v="7"/>
    <x v="0"/>
    <n v="0.14634146341463414"/>
    <n v="39.341458199700661"/>
    <n v="14031"/>
    <n v="552"/>
    <n v="403"/>
    <n v="215"/>
    <n v="41"/>
    <n v="6"/>
    <n v="49"/>
  </r>
  <r>
    <d v="2025-02-10T00:00:00"/>
    <x v="10"/>
    <x v="0"/>
    <n v="7"/>
    <x v="0"/>
    <n v="3.5714285714285712E-2"/>
    <n v="40.417672964909784"/>
    <n v="14078"/>
    <n v="569"/>
    <n v="361"/>
    <n v="278"/>
    <n v="56"/>
    <n v="2"/>
    <n v="63"/>
  </r>
  <r>
    <d v="2025-02-09T00:00:00"/>
    <x v="10"/>
    <x v="1"/>
    <n v="6"/>
    <x v="1"/>
    <n v="9.0909090909090912E-2"/>
    <n v="46.134020618556704"/>
    <n v="11640"/>
    <n v="537"/>
    <n v="250"/>
    <n v="241"/>
    <n v="22"/>
    <n v="2"/>
    <n v="31"/>
  </r>
  <r>
    <d v="2025-02-08T00:00:00"/>
    <x v="10"/>
    <x v="2"/>
    <n v="6"/>
    <x v="1"/>
    <n v="0.04"/>
    <n v="35.2949254961203"/>
    <n v="14563"/>
    <n v="514"/>
    <n v="267"/>
    <n v="252"/>
    <n v="25"/>
    <n v="1"/>
    <n v="27"/>
  </r>
  <r>
    <d v="2025-02-07T00:00:00"/>
    <x v="10"/>
    <x v="3"/>
    <n v="6"/>
    <x v="0"/>
    <n v="5.4054054054054057E-2"/>
    <n v="36.618567928124151"/>
    <n v="14692"/>
    <n v="538"/>
    <n v="475"/>
    <n v="200"/>
    <n v="37"/>
    <n v="2"/>
    <n v="56"/>
  </r>
  <r>
    <d v="2025-02-06T00:00:00"/>
    <x v="10"/>
    <x v="4"/>
    <n v="6"/>
    <x v="0"/>
    <n v="0.15217391304347827"/>
    <n v="39.886660854402791"/>
    <n v="13764"/>
    <n v="549"/>
    <n v="446"/>
    <n v="182"/>
    <n v="46"/>
    <n v="7"/>
    <n v="47"/>
  </r>
  <r>
    <d v="2025-02-05T00:00:00"/>
    <x v="10"/>
    <x v="5"/>
    <n v="6"/>
    <x v="0"/>
    <n v="0.1111111111111111"/>
    <n v="35.965707116470341"/>
    <n v="14347"/>
    <n v="516"/>
    <n v="499"/>
    <n v="168"/>
    <n v="36"/>
    <n v="4"/>
    <n v="39"/>
  </r>
  <r>
    <d v="2025-02-04T00:00:00"/>
    <x v="10"/>
    <x v="6"/>
    <n v="6"/>
    <x v="0"/>
    <n v="2.6315789473684209E-2"/>
    <n v="40.886699507389167"/>
    <n v="14210"/>
    <n v="581"/>
    <n v="491"/>
    <n v="197"/>
    <n v="38"/>
    <n v="1"/>
    <n v="46"/>
  </r>
  <r>
    <d v="2025-02-03T00:00:00"/>
    <x v="10"/>
    <x v="0"/>
    <n v="6"/>
    <x v="0"/>
    <n v="0.13953488372093023"/>
    <n v="42.31414605675932"/>
    <n v="13707"/>
    <n v="580"/>
    <n v="405"/>
    <n v="234"/>
    <n v="43"/>
    <n v="6"/>
    <n v="50"/>
  </r>
  <r>
    <d v="2025-02-02T00:00:00"/>
    <x v="10"/>
    <x v="1"/>
    <n v="5"/>
    <x v="1"/>
    <n v="0.17857142857142858"/>
    <n v="40.165488708843306"/>
    <n v="11602"/>
    <n v="466"/>
    <n v="228"/>
    <n v="231"/>
    <n v="28"/>
    <n v="5"/>
    <n v="30"/>
  </r>
  <r>
    <d v="2025-02-01T00:00:00"/>
    <x v="10"/>
    <x v="2"/>
    <n v="5"/>
    <x v="1"/>
    <n v="0.16"/>
    <n v="33.287482806052267"/>
    <n v="14540"/>
    <n v="484"/>
    <n v="265"/>
    <n v="217"/>
    <n v="25"/>
    <n v="4"/>
    <n v="29"/>
  </r>
  <r>
    <d v="2025-01-31T00:00:00"/>
    <x v="11"/>
    <x v="3"/>
    <n v="5"/>
    <x v="0"/>
    <n v="0.10714285714285714"/>
    <n v="33.309617747881774"/>
    <n v="15461"/>
    <n v="515"/>
    <n v="471"/>
    <n v="211"/>
    <n v="56"/>
    <n v="6"/>
    <n v="71"/>
  </r>
  <r>
    <d v="2025-01-30T00:00:00"/>
    <x v="11"/>
    <x v="4"/>
    <n v="5"/>
    <x v="0"/>
    <n v="3.6363636363636362E-2"/>
    <n v="37.552062340454121"/>
    <n v="14886"/>
    <n v="559"/>
    <n v="567"/>
    <n v="201"/>
    <n v="55"/>
    <n v="2"/>
    <n v="57"/>
  </r>
  <r>
    <d v="2025-01-29T00:00:00"/>
    <x v="11"/>
    <x v="5"/>
    <n v="5"/>
    <x v="0"/>
    <n v="6.25E-2"/>
    <n v="37.596626844694306"/>
    <n v="14230"/>
    <n v="535"/>
    <n v="496"/>
    <n v="181"/>
    <n v="32"/>
    <n v="2"/>
    <n v="34"/>
  </r>
  <r>
    <d v="2025-01-28T00:00:00"/>
    <x v="11"/>
    <x v="6"/>
    <n v="5"/>
    <x v="0"/>
    <n v="9.3023255813953487E-2"/>
    <n v="36.273701566364387"/>
    <n v="14556"/>
    <n v="528"/>
    <n v="541"/>
    <n v="181"/>
    <n v="43"/>
    <n v="4"/>
    <n v="49"/>
  </r>
  <r>
    <d v="2025-01-27T00:00:00"/>
    <x v="11"/>
    <x v="0"/>
    <n v="5"/>
    <x v="0"/>
    <n v="6.3829787234042548E-2"/>
    <n v="37.414491134999302"/>
    <n v="14326"/>
    <n v="536"/>
    <n v="407"/>
    <n v="213"/>
    <n v="47"/>
    <n v="3"/>
    <n v="51"/>
  </r>
  <r>
    <d v="2025-01-26T00:00:00"/>
    <x v="11"/>
    <x v="1"/>
    <n v="4"/>
    <x v="1"/>
    <n v="8.8888888888888892E-2"/>
    <n v="46.247948679695661"/>
    <n v="13406"/>
    <n v="620"/>
    <n v="295"/>
    <n v="297"/>
    <n v="45"/>
    <n v="4"/>
    <n v="51"/>
  </r>
  <r>
    <d v="2025-01-25T00:00:00"/>
    <x v="11"/>
    <x v="2"/>
    <n v="4"/>
    <x v="1"/>
    <n v="0.21621621621621623"/>
    <n v="40.283070223189988"/>
    <n v="14696"/>
    <n v="592"/>
    <n v="246"/>
    <n v="301"/>
    <n v="37"/>
    <n v="8"/>
    <n v="37"/>
  </r>
  <r>
    <d v="2025-01-24T00:00:00"/>
    <x v="11"/>
    <x v="3"/>
    <n v="4"/>
    <x v="0"/>
    <n v="0.04"/>
    <n v="34.962812281482421"/>
    <n v="15731"/>
    <n v="550"/>
    <n v="450"/>
    <n v="180"/>
    <n v="50"/>
    <n v="2"/>
    <n v="58"/>
  </r>
  <r>
    <d v="2025-01-23T00:00:00"/>
    <x v="11"/>
    <x v="4"/>
    <n v="4"/>
    <x v="0"/>
    <n v="0.1"/>
    <n v="36.933847692527507"/>
    <n v="13998"/>
    <n v="517"/>
    <n v="473"/>
    <n v="169"/>
    <n v="40"/>
    <n v="4"/>
    <n v="39"/>
  </r>
  <r>
    <d v="2025-01-22T00:00:00"/>
    <x v="11"/>
    <x v="5"/>
    <n v="4"/>
    <x v="0"/>
    <n v="0.05"/>
    <n v="36.649582250930287"/>
    <n v="14243"/>
    <n v="522"/>
    <n v="492"/>
    <n v="183"/>
    <n v="40"/>
    <n v="2"/>
    <n v="47"/>
  </r>
  <r>
    <d v="2025-01-21T00:00:00"/>
    <x v="11"/>
    <x v="6"/>
    <n v="4"/>
    <x v="0"/>
    <n v="0.1111111111111111"/>
    <n v="35.269867928849528"/>
    <n v="13099"/>
    <n v="462"/>
    <n v="394"/>
    <n v="149"/>
    <n v="36"/>
    <n v="4"/>
    <n v="42"/>
  </r>
  <r>
    <d v="2025-01-20T00:00:00"/>
    <x v="11"/>
    <x v="0"/>
    <n v="4"/>
    <x v="0"/>
    <n v="6.8965517241379309E-2"/>
    <n v="34.427597718736955"/>
    <n v="14378"/>
    <n v="495"/>
    <n v="423"/>
    <n v="215"/>
    <n v="58"/>
    <n v="4"/>
    <n v="68"/>
  </r>
  <r>
    <d v="2025-01-19T00:00:00"/>
    <x v="11"/>
    <x v="1"/>
    <n v="3"/>
    <x v="1"/>
    <n v="6.4516129032258063E-2"/>
    <n v="40.274715957266409"/>
    <n v="11794"/>
    <n v="475"/>
    <n v="215"/>
    <n v="215"/>
    <n v="31"/>
    <n v="2"/>
    <n v="38"/>
  </r>
  <r>
    <d v="2025-01-18T00:00:00"/>
    <x v="11"/>
    <x v="2"/>
    <n v="3"/>
    <x v="1"/>
    <n v="2.5000000000000001E-2"/>
    <n v="37.207726194510336"/>
    <n v="14755"/>
    <n v="549"/>
    <n v="276"/>
    <n v="259"/>
    <n v="40"/>
    <n v="1"/>
    <n v="52"/>
  </r>
  <r>
    <d v="2025-01-17T00:00:00"/>
    <x v="11"/>
    <x v="3"/>
    <n v="3"/>
    <x v="0"/>
    <n v="0.05"/>
    <n v="30.432836775142253"/>
    <n v="15641"/>
    <n v="476"/>
    <n v="507"/>
    <n v="180"/>
    <n v="40"/>
    <n v="2"/>
    <n v="42"/>
  </r>
  <r>
    <d v="2025-01-16T00:00:00"/>
    <x v="11"/>
    <x v="4"/>
    <n v="3"/>
    <x v="0"/>
    <n v="0.05"/>
    <n v="38.67289462838302"/>
    <n v="14558"/>
    <n v="563"/>
    <n v="589"/>
    <n v="190"/>
    <n v="40"/>
    <n v="2"/>
    <n v="42"/>
  </r>
  <r>
    <d v="2025-01-15T00:00:00"/>
    <x v="11"/>
    <x v="5"/>
    <n v="3"/>
    <x v="0"/>
    <n v="4.5454545454545456E-2"/>
    <n v="36.306235201262822"/>
    <n v="13937"/>
    <n v="506"/>
    <n v="501"/>
    <n v="198"/>
    <n v="44"/>
    <n v="2"/>
    <n v="54"/>
  </r>
  <r>
    <d v="2025-01-14T00:00:00"/>
    <x v="11"/>
    <x v="6"/>
    <n v="3"/>
    <x v="0"/>
    <n v="0.125"/>
    <n v="37.196845707484009"/>
    <n v="13442"/>
    <n v="500"/>
    <n v="466"/>
    <n v="179"/>
    <n v="32"/>
    <n v="4"/>
    <n v="41"/>
  </r>
  <r>
    <d v="2025-01-13T00:00:00"/>
    <x v="11"/>
    <x v="0"/>
    <n v="3"/>
    <x v="0"/>
    <n v="6.0606060606060608E-2"/>
    <n v="37.073024889752595"/>
    <n v="13379"/>
    <n v="496"/>
    <n v="412"/>
    <n v="217"/>
    <n v="33"/>
    <n v="2"/>
    <n v="40"/>
  </r>
  <r>
    <d v="2025-01-12T00:00:00"/>
    <x v="11"/>
    <x v="1"/>
    <n v="2"/>
    <x v="1"/>
    <n v="0"/>
    <n v="36.235086168802475"/>
    <n v="11315"/>
    <n v="410"/>
    <n v="233"/>
    <n v="192"/>
    <n v="22"/>
    <n v="0"/>
    <n v="34"/>
  </r>
  <r>
    <d v="2025-01-11T00:00:00"/>
    <x v="11"/>
    <x v="2"/>
    <n v="2"/>
    <x v="1"/>
    <n v="7.6923076923076927E-2"/>
    <n v="34.662166912746962"/>
    <n v="14223"/>
    <n v="493"/>
    <n v="217"/>
    <n v="171"/>
    <n v="39"/>
    <n v="3"/>
    <n v="49"/>
  </r>
  <r>
    <d v="2025-01-10T00:00:00"/>
    <x v="11"/>
    <x v="3"/>
    <n v="2"/>
    <x v="0"/>
    <n v="0.11320754716981132"/>
    <n v="34.798298749838899"/>
    <n v="15518"/>
    <n v="540"/>
    <n v="455"/>
    <n v="185"/>
    <n v="53"/>
    <n v="6"/>
    <n v="58"/>
  </r>
  <r>
    <d v="2025-01-09T00:00:00"/>
    <x v="11"/>
    <x v="4"/>
    <n v="2"/>
    <x v="0"/>
    <n v="5.7692307692307696E-2"/>
    <n v="34.698935704913254"/>
    <n v="13718"/>
    <n v="476"/>
    <n v="506"/>
    <n v="157"/>
    <n v="52"/>
    <n v="3"/>
    <n v="53"/>
  </r>
  <r>
    <d v="2025-01-08T00:00:00"/>
    <x v="11"/>
    <x v="5"/>
    <n v="2"/>
    <x v="0"/>
    <n v="1.6949152542372881E-2"/>
    <n v="33.032821524158329"/>
    <n v="14198"/>
    <n v="469"/>
    <n v="450"/>
    <n v="136"/>
    <n v="59"/>
    <n v="1"/>
    <n v="66"/>
  </r>
  <r>
    <d v="2025-01-07T00:00:00"/>
    <x v="11"/>
    <x v="6"/>
    <n v="2"/>
    <x v="0"/>
    <n v="7.3529411764705885E-2"/>
    <n v="46.531791907514446"/>
    <n v="13840"/>
    <n v="644"/>
    <n v="416"/>
    <n v="447"/>
    <n v="68"/>
    <n v="5"/>
    <n v="73"/>
  </r>
  <r>
    <d v="2025-01-06T00:00:00"/>
    <x v="11"/>
    <x v="0"/>
    <n v="2"/>
    <x v="0"/>
    <n v="0.1111111111111111"/>
    <n v="38.866728035184614"/>
    <n v="9777"/>
    <n v="380"/>
    <n v="220"/>
    <n v="143"/>
    <n v="18"/>
    <n v="2"/>
    <n v="23"/>
  </r>
  <r>
    <d v="2025-01-05T00:00:00"/>
    <x v="11"/>
    <x v="1"/>
    <n v="1"/>
    <x v="1"/>
    <n v="0.125"/>
    <n v="33.32407664537628"/>
    <n v="10803"/>
    <n v="360"/>
    <n v="188"/>
    <n v="147"/>
    <n v="16"/>
    <n v="2"/>
    <n v="15"/>
  </r>
  <r>
    <d v="2025-01-04T00:00:00"/>
    <x v="11"/>
    <x v="2"/>
    <n v="1"/>
    <x v="1"/>
    <n v="0"/>
    <n v="32.731722239216886"/>
    <n v="13076"/>
    <n v="428"/>
    <n v="258"/>
    <n v="163"/>
    <n v="30"/>
    <n v="0"/>
    <n v="35"/>
  </r>
  <r>
    <d v="2025-01-03T00:00:00"/>
    <x v="11"/>
    <x v="3"/>
    <n v="1"/>
    <x v="0"/>
    <n v="7.6923076923076927E-2"/>
    <n v="30.205179952909518"/>
    <n v="14865"/>
    <n v="449"/>
    <n v="520"/>
    <n v="154"/>
    <n v="39"/>
    <n v="3"/>
    <n v="47"/>
  </r>
  <r>
    <d v="2025-01-02T00:00:00"/>
    <x v="11"/>
    <x v="4"/>
    <n v="1"/>
    <x v="0"/>
    <n v="4.5454545454545456E-2"/>
    <n v="39.186581564494581"/>
    <n v="13474"/>
    <n v="528"/>
    <n v="400"/>
    <n v="288"/>
    <n v="44"/>
    <n v="2"/>
    <n v="52"/>
  </r>
  <r>
    <d v="2025-01-01T00:00:00"/>
    <x v="11"/>
    <x v="5"/>
    <n v="1"/>
    <x v="0"/>
    <n v="0.1111111111111111"/>
    <n v="33.536936729284314"/>
    <n v="17354"/>
    <n v="582"/>
    <n v="232"/>
    <n v="328"/>
    <n v="27"/>
    <n v="3"/>
    <n v="29"/>
  </r>
  <r>
    <d v="2024-12-31T00:00:00"/>
    <x v="0"/>
    <x v="6"/>
    <n v="53"/>
    <x v="0"/>
    <n v="8.3333333333333329E-2"/>
    <n v="25.433992733144933"/>
    <n v="14862"/>
    <n v="378"/>
    <n v="277"/>
    <n v="181"/>
    <n v="36"/>
    <n v="3"/>
    <n v="34"/>
  </r>
  <r>
    <d v="2024-12-30T00:00:00"/>
    <x v="0"/>
    <x v="0"/>
    <n v="53"/>
    <x v="0"/>
    <n v="8.5106382978723402E-2"/>
    <n v="27.742239579826276"/>
    <n v="14851"/>
    <n v="412"/>
    <n v="364"/>
    <n v="156"/>
    <n v="47"/>
    <n v="4"/>
    <n v="54"/>
  </r>
  <r>
    <d v="2024-12-29T00:00:00"/>
    <x v="0"/>
    <x v="1"/>
    <n v="52"/>
    <x v="1"/>
    <n v="0.15625"/>
    <n v="31.196287383980749"/>
    <n v="11636"/>
    <n v="363"/>
    <n v="222"/>
    <n v="172"/>
    <n v="32"/>
    <n v="5"/>
    <n v="39"/>
  </r>
  <r>
    <d v="2024-12-28T00:00:00"/>
    <x v="0"/>
    <x v="2"/>
    <n v="52"/>
    <x v="1"/>
    <n v="0.1"/>
    <n v="30.313588850174213"/>
    <n v="14350"/>
    <n v="435"/>
    <n v="252"/>
    <n v="170"/>
    <n v="30"/>
    <n v="3"/>
    <n v="40"/>
  </r>
  <r>
    <d v="2024-12-27T00:00:00"/>
    <x v="0"/>
    <x v="3"/>
    <n v="52"/>
    <x v="0"/>
    <n v="6.25E-2"/>
    <n v="30.616958099637085"/>
    <n v="15155"/>
    <n v="464"/>
    <n v="465"/>
    <n v="229"/>
    <n v="64"/>
    <n v="4"/>
    <n v="78"/>
  </r>
  <r>
    <d v="2024-12-26T00:00:00"/>
    <x v="0"/>
    <x v="4"/>
    <n v="52"/>
    <x v="0"/>
    <n v="0.18181818181818182"/>
    <n v="32.12627669452182"/>
    <n v="10770"/>
    <n v="346"/>
    <n v="162"/>
    <n v="166"/>
    <n v="22"/>
    <n v="4"/>
    <n v="25"/>
  </r>
  <r>
    <d v="2024-12-25T00:00:00"/>
    <x v="0"/>
    <x v="5"/>
    <n v="52"/>
    <x v="0"/>
    <n v="0.1111111111111111"/>
    <n v="31.076301162203134"/>
    <n v="11874"/>
    <n v="369"/>
    <n v="176"/>
    <n v="172"/>
    <n v="18"/>
    <n v="2"/>
    <n v="21"/>
  </r>
  <r>
    <d v="2024-12-24T00:00:00"/>
    <x v="0"/>
    <x v="6"/>
    <n v="52"/>
    <x v="0"/>
    <n v="0.1"/>
    <n v="28.402771836769613"/>
    <n v="11689"/>
    <n v="332"/>
    <n v="298"/>
    <n v="174"/>
    <n v="30"/>
    <n v="3"/>
    <n v="31"/>
  </r>
  <r>
    <d v="2024-12-23T00:00:00"/>
    <x v="0"/>
    <x v="0"/>
    <n v="52"/>
    <x v="0"/>
    <n v="5.4545454545454543E-2"/>
    <n v="31.969074062710927"/>
    <n v="16297"/>
    <n v="521"/>
    <n v="525"/>
    <n v="221"/>
    <n v="55"/>
    <n v="3"/>
    <n v="56"/>
  </r>
  <r>
    <d v="2024-12-22T00:00:00"/>
    <x v="0"/>
    <x v="1"/>
    <n v="51"/>
    <x v="1"/>
    <n v="9.6774193548387094E-2"/>
    <n v="36.634149764895781"/>
    <n v="14249"/>
    <n v="522"/>
    <n v="233"/>
    <n v="246"/>
    <n v="31"/>
    <n v="3"/>
    <n v="37"/>
  </r>
  <r>
    <d v="2024-12-21T00:00:00"/>
    <x v="0"/>
    <x v="2"/>
    <n v="51"/>
    <x v="1"/>
    <n v="8.6956521739130432E-2"/>
    <n v="31.914893617021274"/>
    <n v="16732"/>
    <n v="534"/>
    <n v="297"/>
    <n v="266"/>
    <n v="46"/>
    <n v="4"/>
    <n v="51"/>
  </r>
  <r>
    <d v="2024-12-20T00:00:00"/>
    <x v="0"/>
    <x v="3"/>
    <n v="51"/>
    <x v="0"/>
    <n v="9.0909090909090912E-2"/>
    <n v="32.036209734305196"/>
    <n v="17012"/>
    <n v="545"/>
    <n v="420"/>
    <n v="217"/>
    <n v="77"/>
    <n v="7"/>
    <n v="79"/>
  </r>
  <r>
    <d v="2024-12-19T00:00:00"/>
    <x v="0"/>
    <x v="4"/>
    <n v="51"/>
    <x v="0"/>
    <n v="9.5238095238095233E-2"/>
    <n v="31.826657236546005"/>
    <n v="15553"/>
    <n v="495"/>
    <n v="457"/>
    <n v="215"/>
    <n v="63"/>
    <n v="6"/>
    <n v="76"/>
  </r>
  <r>
    <d v="2024-12-18T00:00:00"/>
    <x v="0"/>
    <x v="5"/>
    <n v="51"/>
    <x v="0"/>
    <n v="6.3492063492063489E-2"/>
    <n v="34.616906237636819"/>
    <n v="15166"/>
    <n v="525"/>
    <n v="463"/>
    <n v="213"/>
    <n v="63"/>
    <n v="4"/>
    <n v="74"/>
  </r>
  <r>
    <d v="2024-12-17T00:00:00"/>
    <x v="0"/>
    <x v="6"/>
    <n v="51"/>
    <x v="0"/>
    <n v="0.13846153846153847"/>
    <n v="36.00643690492155"/>
    <n v="14914"/>
    <n v="537"/>
    <n v="433"/>
    <n v="245"/>
    <n v="65"/>
    <n v="9"/>
    <n v="70"/>
  </r>
  <r>
    <d v="2024-12-16T00:00:00"/>
    <x v="0"/>
    <x v="0"/>
    <n v="51"/>
    <x v="0"/>
    <n v="0.10714285714285714"/>
    <n v="29.319371727748692"/>
    <n v="15280"/>
    <n v="448"/>
    <n v="400"/>
    <n v="191"/>
    <n v="84"/>
    <n v="9"/>
    <n v="91"/>
  </r>
  <r>
    <d v="2024-12-15T00:00:00"/>
    <x v="0"/>
    <x v="1"/>
    <n v="50"/>
    <x v="1"/>
    <n v="0.25"/>
    <n v="36.989998412446418"/>
    <n v="12598"/>
    <n v="466"/>
    <n v="245"/>
    <n v="204"/>
    <n v="40"/>
    <n v="10"/>
    <n v="62"/>
  </r>
  <r>
    <d v="2024-12-14T00:00:00"/>
    <x v="0"/>
    <x v="2"/>
    <n v="50"/>
    <x v="1"/>
    <n v="6.9767441860465115E-2"/>
    <n v="32.238766285562356"/>
    <n v="15044"/>
    <n v="485"/>
    <n v="268"/>
    <n v="217"/>
    <n v="43"/>
    <n v="3"/>
    <n v="51"/>
  </r>
  <r>
    <d v="2024-12-13T00:00:00"/>
    <x v="0"/>
    <x v="3"/>
    <n v="50"/>
    <x v="0"/>
    <n v="8.5365853658536592E-2"/>
    <n v="26.729275781108903"/>
    <n v="16611"/>
    <n v="444"/>
    <n v="370"/>
    <n v="211"/>
    <n v="82"/>
    <n v="7"/>
    <n v="104"/>
  </r>
  <r>
    <d v="2024-12-12T00:00:00"/>
    <x v="0"/>
    <x v="4"/>
    <n v="50"/>
    <x v="0"/>
    <n v="1.8181818181818181E-2"/>
    <n v="33.062880324543613"/>
    <n v="14790"/>
    <n v="489"/>
    <n v="437"/>
    <n v="217"/>
    <n v="55"/>
    <n v="1"/>
    <n v="64"/>
  </r>
  <r>
    <d v="2024-12-11T00:00:00"/>
    <x v="0"/>
    <x v="5"/>
    <n v="50"/>
    <x v="0"/>
    <n v="4.4117647058823532E-2"/>
    <n v="34.213767620090323"/>
    <n v="14614"/>
    <n v="500"/>
    <n v="440"/>
    <n v="182"/>
    <n v="68"/>
    <n v="3"/>
    <n v="71"/>
  </r>
  <r>
    <d v="2024-12-10T00:00:00"/>
    <x v="0"/>
    <x v="6"/>
    <n v="50"/>
    <x v="0"/>
    <n v="9.0909090909090912E-2"/>
    <n v="32.699892434564354"/>
    <n v="13945"/>
    <n v="456"/>
    <n v="432"/>
    <n v="149"/>
    <n v="55"/>
    <n v="5"/>
    <n v="55"/>
  </r>
  <r>
    <d v="2024-12-09T00:00:00"/>
    <x v="0"/>
    <x v="0"/>
    <n v="50"/>
    <x v="0"/>
    <n v="5.1724137931034482E-2"/>
    <n v="41.607798813224072"/>
    <n v="14156"/>
    <n v="589"/>
    <n v="386"/>
    <n v="295"/>
    <n v="58"/>
    <n v="3"/>
    <n v="65"/>
  </r>
  <r>
    <d v="2024-12-08T00:00:00"/>
    <x v="0"/>
    <x v="1"/>
    <n v="49"/>
    <x v="1"/>
    <n v="8.5714285714285715E-2"/>
    <n v="34.305894223492814"/>
    <n v="11893"/>
    <n v="408"/>
    <n v="225"/>
    <n v="184"/>
    <n v="35"/>
    <n v="3"/>
    <n v="41"/>
  </r>
  <r>
    <d v="2024-12-07T00:00:00"/>
    <x v="0"/>
    <x v="2"/>
    <n v="49"/>
    <x v="1"/>
    <n v="5.8823529411764705E-2"/>
    <n v="33.297957017776596"/>
    <n v="15076"/>
    <n v="502"/>
    <n v="249"/>
    <n v="212"/>
    <n v="51"/>
    <n v="3"/>
    <n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D6396-2F80-468F-8D61-685CF0075BED}" name="Tabela przestawna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J3:L16" firstHeaderRow="0" firstDataRow="1" firstDataCol="1"/>
  <pivotFields count="14">
    <pivotField numFmtId="14"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Zabici w wypadkach" fld="12" baseField="0" baseItem="0"/>
    <dataField name="Suma z Ranni w wypadkach" fld="1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A4EAB-BB56-4D04-AD10-A7262A5B989F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rowHeaderCaption="Czy weekend?">
  <location ref="D29:F32" firstHeaderRow="0" firstDataRow="1" firstDataCol="1"/>
  <pivotFields count="14"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0" showAll="0"/>
    <pivotField numFmtId="2"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z Kierujący po spożyciu alkoholu" fld="10" subtotal="average" baseField="4" baseItem="0"/>
    <dataField name="Średnia z Wypadki drogowe" fld="11" subtotal="average" baseField="4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35D8C-9239-43B1-9E0D-D75467144734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 rowHeaderCaption="Dzień tygodnia">
  <location ref="D19:E27" firstHeaderRow="1" firstDataRow="1" firstDataCol="1"/>
  <pivotFields count="14">
    <pivotField numFmtId="14" showAll="0"/>
    <pivotField showAll="0"/>
    <pivotField axis="axisRow" showAll="0" sortType="ascending">
      <items count="8">
        <item x="0"/>
        <item x="6"/>
        <item x="5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0" showAll="0"/>
    <pivotField numFmtId="2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8">
    <i>
      <x v="6"/>
    </i>
    <i>
      <x v="5"/>
    </i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Średnia z Wypadki drogowe" fld="11" subtotal="average" baseField="2" baseItem="0" numFmtId="1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65AD4-ED02-4BED-A8B4-570B979D8B6B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 rowHeaderCaption="Miesiąc">
  <location ref="A3:H16" firstHeaderRow="0" firstDataRow="1" firstDataCol="1"/>
  <pivotFields count="14">
    <pivotField numFmtId="14" showAll="0"/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numFmtId="10" showAll="0"/>
    <pivotField numFmtId="2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z Interwencje" fld="7" baseField="0" baseItem="0"/>
    <dataField name="Suma z Zatrzymani na gorącym uczynku" fld="8" baseField="0" baseItem="0"/>
    <dataField name="Suma z Zatrzymani poszukiwani" fld="9" baseField="0" baseItem="0"/>
    <dataField name="Suma z Kierujący po spożyciu alkoholu" fld="10" baseField="0" baseItem="0"/>
    <dataField name="Suma z Wypadki drogowe" fld="11" baseField="0" baseItem="0"/>
    <dataField name="Suma z Zabici w wypadkach" fld="12" baseField="0" baseItem="0"/>
    <dataField name="Suma z Ranni w wypadkach" fld="13" baseField="0" baseItem="0"/>
  </dataFields>
  <conditionalFormats count="7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6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C72AC-F948-4472-B243-77C01EADC506}" name="Tabela1" displayName="Tabela1" ref="A1:N368" totalsRowShown="0">
  <autoFilter ref="A1:N368" xr:uid="{0AE52D14-4AD3-4E46-A8C7-09D01A2B9C6A}"/>
  <tableColumns count="14">
    <tableColumn id="1" xr3:uid="{6DF5DF46-0948-4CE9-9DC2-A212EF94BBD8}" name="Data" dataDxfId="6"/>
    <tableColumn id="9" xr3:uid="{8D04F3D7-C4A3-41D9-8385-70A080453BA8}" name="Miesiąc" dataDxfId="5">
      <calculatedColumnFormula>TEXT(Tabela1[[#This Row],[Data]],"mmmm")</calculatedColumnFormula>
    </tableColumn>
    <tableColumn id="10" xr3:uid="{10A919FB-B4E7-4FFD-B0A0-FF8115C9C776}" name="Dzien tygodnia" dataDxfId="4">
      <calculatedColumnFormula>TEXT(Tabela1[[#This Row],[Data]],"dddd")</calculatedColumnFormula>
    </tableColumn>
    <tableColumn id="11" xr3:uid="{B4520C1A-BE10-4762-B014-8FCECCC4A07C}" name="Nr tygodnia" dataDxfId="3">
      <calculatedColumnFormula>WEEKNUM(Tabela1[[#This Row],[Data]],2)</calculatedColumnFormula>
    </tableColumn>
    <tableColumn id="12" xr3:uid="{9B4ECCE6-761F-4E96-B825-9288478653DD}" name="Czy weekend" dataDxfId="2">
      <calculatedColumnFormula>IF(WEEKDAY(Tabela1[[#This Row],[Data]],2)&gt;5,"TAK","NIE")</calculatedColumnFormula>
    </tableColumn>
    <tableColumn id="13" xr3:uid="{84B91953-14D9-4BDD-9F12-093E124FB65E}" name="Śmiertelnosc" dataDxfId="1">
      <calculatedColumnFormula>IF(Tabela1[[#This Row],[Wypadki drogowe]]=0,0,Tabela1[[#This Row],[Zabici w wypadkach]]/Tabela1[[#This Row],[Wypadki drogowe]])</calculatedColumnFormula>
    </tableColumn>
    <tableColumn id="14" xr3:uid="{BEC3D2CA-BF6C-4935-9371-55DADFBA8D1D}" name="Zatrzymani na 1k interwencji" dataDxfId="0">
      <calculatedColumnFormula>(Tabela1[[#This Row],[Zatrzymani na gorącym uczynku]]/Tabela1[[#This Row],[Interwencje]])*1000</calculatedColumnFormula>
    </tableColumn>
    <tableColumn id="2" xr3:uid="{675335AD-6860-4ADC-B55B-53850A1E1542}" name="Interwencje"/>
    <tableColumn id="3" xr3:uid="{20CA75F9-9670-401D-BC62-84D492981987}" name="Zatrzymani na gorącym uczynku"/>
    <tableColumn id="4" xr3:uid="{A8112864-F2CD-4F44-9390-B6BE1726A0CC}" name="Zatrzymani poszukiwani"/>
    <tableColumn id="5" xr3:uid="{D0273BDD-376C-4500-88E4-1953E804CB39}" name="Kierujący po spożyciu alkoholu"/>
    <tableColumn id="6" xr3:uid="{D6F00575-892D-4F20-93B7-A8C2210AF773}" name="Wypadki drogowe"/>
    <tableColumn id="7" xr3:uid="{86CD4EA9-1E2F-42A4-B199-D81BC7743D58}" name="Zabici w wypadkach"/>
    <tableColumn id="8" xr3:uid="{C30D310E-667A-48B7-AEE4-A042C9218391}" name="Ranni w wypadka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Pakiet 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168C-2BFA-46C7-8944-D0B6DBE28F50}">
  <dimension ref="A1:W39"/>
  <sheetViews>
    <sheetView tabSelected="1" zoomScale="65" workbookViewId="0">
      <selection activeCell="Y23" sqref="Y23"/>
    </sheetView>
  </sheetViews>
  <sheetFormatPr defaultRowHeight="14.4" x14ac:dyDescent="0.3"/>
  <cols>
    <col min="2" max="2" width="8.88671875" customWidth="1"/>
    <col min="14" max="14" width="8.77734375" customWidth="1"/>
    <col min="15" max="15" width="1.5546875" customWidth="1"/>
    <col min="19" max="19" width="25.21875" bestFit="1" customWidth="1"/>
  </cols>
  <sheetData>
    <row r="1" spans="1:23" ht="16.2" customHeight="1" x14ac:dyDescent="0.3">
      <c r="A1" s="30"/>
      <c r="B1" s="30"/>
      <c r="C1" s="30"/>
      <c r="D1" s="30"/>
      <c r="E1" s="30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ht="15" thickBot="1" x14ac:dyDescent="0.35">
      <c r="A2" s="30"/>
      <c r="B2" s="30"/>
      <c r="C2" s="30"/>
      <c r="D2" s="30"/>
      <c r="E2" s="30"/>
      <c r="F2" s="48" t="s">
        <v>75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</row>
    <row r="3" spans="1:23" ht="15.6" customHeight="1" x14ac:dyDescent="0.3">
      <c r="A3" s="30"/>
      <c r="B3" s="85" t="s">
        <v>66</v>
      </c>
      <c r="C3" s="86"/>
      <c r="D3" s="87"/>
      <c r="E3" s="30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</row>
    <row r="4" spans="1:23" ht="14.4" customHeight="1" x14ac:dyDescent="0.3">
      <c r="A4" s="30"/>
      <c r="B4" s="88"/>
      <c r="C4" s="89"/>
      <c r="D4" s="90"/>
      <c r="E4" s="30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spans="1:23" x14ac:dyDescent="0.3">
      <c r="A5" s="30"/>
      <c r="B5" s="69">
        <f>WykresyKPI!C49</f>
        <v>5744661</v>
      </c>
      <c r="C5" s="67"/>
      <c r="D5" s="68"/>
      <c r="E5" s="30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</row>
    <row r="6" spans="1:23" x14ac:dyDescent="0.3">
      <c r="A6" s="30"/>
      <c r="B6" s="69"/>
      <c r="C6" s="67"/>
      <c r="D6" s="68"/>
      <c r="E6" s="30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</row>
    <row r="7" spans="1:23" ht="15" thickBot="1" x14ac:dyDescent="0.35">
      <c r="A7" s="30"/>
      <c r="B7" s="70"/>
      <c r="C7" s="71"/>
      <c r="D7" s="72"/>
      <c r="E7" s="30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ht="15" thickBot="1" x14ac:dyDescent="0.35">
      <c r="A8" s="30"/>
      <c r="B8" s="30"/>
      <c r="C8" s="30"/>
      <c r="D8" s="30"/>
      <c r="E8" s="30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</row>
    <row r="9" spans="1:23" x14ac:dyDescent="0.3">
      <c r="A9" s="30"/>
      <c r="B9" s="53" t="s">
        <v>71</v>
      </c>
      <c r="C9" s="54"/>
      <c r="D9" s="55"/>
      <c r="E9" s="30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x14ac:dyDescent="0.3">
      <c r="A10" s="30"/>
      <c r="B10" s="56"/>
      <c r="C10" s="57"/>
      <c r="D10" s="58"/>
      <c r="E10" s="3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4.4" customHeight="1" x14ac:dyDescent="0.3">
      <c r="A11" s="30"/>
      <c r="B11" s="79">
        <f>WykresyKPI!H34</f>
        <v>4.0655737704918034</v>
      </c>
      <c r="C11" s="80"/>
      <c r="D11" s="81"/>
      <c r="E11" s="30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14.4" customHeight="1" x14ac:dyDescent="0.3">
      <c r="A12" s="30"/>
      <c r="B12" s="79"/>
      <c r="C12" s="80"/>
      <c r="D12" s="81"/>
      <c r="E12" s="30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thickBot="1" x14ac:dyDescent="0.35">
      <c r="A13" s="30"/>
      <c r="B13" s="82" t="s">
        <v>72</v>
      </c>
      <c r="C13" s="83"/>
      <c r="D13" s="84"/>
      <c r="E13" s="3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thickBot="1" x14ac:dyDescent="0.35">
      <c r="A14" s="30"/>
      <c r="B14" s="30"/>
      <c r="C14" s="30"/>
      <c r="D14" s="30"/>
      <c r="E14" s="30"/>
      <c r="F14" s="41"/>
      <c r="G14" s="41"/>
      <c r="H14" s="41"/>
      <c r="I14" s="41"/>
      <c r="J14" s="44"/>
      <c r="K14" s="44"/>
      <c r="L14" s="44"/>
      <c r="M14" s="44"/>
      <c r="N14" s="44"/>
      <c r="O14" s="44"/>
      <c r="P14" s="41"/>
      <c r="Q14" s="41"/>
      <c r="R14" s="43"/>
      <c r="S14" s="43"/>
      <c r="T14" s="43"/>
      <c r="U14" s="43"/>
      <c r="V14" s="41"/>
      <c r="W14" s="41"/>
    </row>
    <row r="15" spans="1:23" ht="14.4" customHeight="1" x14ac:dyDescent="0.3">
      <c r="A15" s="30"/>
      <c r="B15" s="53" t="s">
        <v>54</v>
      </c>
      <c r="C15" s="54"/>
      <c r="D15" s="55"/>
      <c r="E15" s="30"/>
      <c r="F15" s="41"/>
      <c r="G15" s="41"/>
      <c r="H15" s="41"/>
      <c r="I15" s="41"/>
      <c r="J15" s="45"/>
      <c r="K15" s="44"/>
      <c r="L15" s="44"/>
      <c r="M15" s="44"/>
      <c r="N15" s="44"/>
      <c r="O15" s="44"/>
      <c r="P15" s="44"/>
      <c r="Q15" s="43"/>
      <c r="R15" s="43"/>
      <c r="S15" s="43"/>
      <c r="T15" s="43"/>
      <c r="U15" s="43"/>
      <c r="V15" s="41"/>
      <c r="W15" s="41"/>
    </row>
    <row r="16" spans="1:23" x14ac:dyDescent="0.3">
      <c r="A16" s="30"/>
      <c r="B16" s="56"/>
      <c r="C16" s="57"/>
      <c r="D16" s="58"/>
      <c r="E16" s="30"/>
      <c r="F16" s="41"/>
      <c r="G16" s="41"/>
      <c r="H16" s="41"/>
      <c r="I16" s="41"/>
      <c r="J16" s="44"/>
      <c r="K16" s="44"/>
      <c r="L16" s="44"/>
      <c r="M16" s="44"/>
      <c r="N16" s="44"/>
      <c r="O16" s="44"/>
      <c r="P16" s="44"/>
      <c r="Q16" s="43"/>
      <c r="R16" s="43"/>
      <c r="S16" s="43"/>
      <c r="T16" s="43"/>
      <c r="U16" s="43"/>
      <c r="V16" s="41"/>
      <c r="W16" s="41"/>
    </row>
    <row r="17" spans="1:23" x14ac:dyDescent="0.3">
      <c r="A17" s="30"/>
      <c r="B17" s="66">
        <f>WykresyKPI!B36</f>
        <v>1.9073569482288829E-2</v>
      </c>
      <c r="C17" s="67"/>
      <c r="D17" s="68"/>
      <c r="E17" s="30"/>
      <c r="F17" s="41"/>
      <c r="G17" s="41"/>
      <c r="H17" s="41"/>
      <c r="I17" s="41"/>
      <c r="J17" s="44"/>
      <c r="K17" s="44"/>
      <c r="L17" s="44"/>
      <c r="M17" s="44"/>
      <c r="N17" s="44"/>
      <c r="O17" s="44"/>
      <c r="P17" s="44"/>
      <c r="Q17" s="41"/>
      <c r="R17" s="43"/>
      <c r="S17" s="43"/>
      <c r="T17" s="43"/>
      <c r="U17" s="43"/>
      <c r="V17" s="41"/>
      <c r="W17" s="41"/>
    </row>
    <row r="18" spans="1:23" ht="14.4" customHeight="1" x14ac:dyDescent="0.3">
      <c r="A18" s="30"/>
      <c r="B18" s="69"/>
      <c r="C18" s="67"/>
      <c r="D18" s="68"/>
      <c r="E18" s="30"/>
      <c r="F18" s="41"/>
      <c r="G18" s="41"/>
      <c r="H18" s="41"/>
      <c r="I18" s="41"/>
      <c r="J18" s="44"/>
      <c r="K18" s="50" t="s">
        <v>73</v>
      </c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41"/>
    </row>
    <row r="19" spans="1:23" ht="15" customHeight="1" thickBot="1" x14ac:dyDescent="0.35">
      <c r="A19" s="30"/>
      <c r="B19" s="70"/>
      <c r="C19" s="71"/>
      <c r="D19" s="72"/>
      <c r="E19" s="30"/>
      <c r="F19" s="41"/>
      <c r="G19" s="41"/>
      <c r="H19" s="41"/>
      <c r="I19" s="41"/>
      <c r="J19" s="44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41"/>
    </row>
    <row r="20" spans="1:23" ht="15" customHeight="1" thickBot="1" x14ac:dyDescent="0.35">
      <c r="A20" s="30"/>
      <c r="B20" s="30"/>
      <c r="C20" s="30"/>
      <c r="D20" s="30"/>
      <c r="E20" s="30"/>
      <c r="F20" s="41"/>
      <c r="G20" s="41"/>
      <c r="H20" s="41"/>
      <c r="I20" s="41"/>
      <c r="J20" s="44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41"/>
    </row>
    <row r="21" spans="1:23" ht="14.4" customHeight="1" x14ac:dyDescent="0.3">
      <c r="A21" s="30"/>
      <c r="B21" s="53" t="s">
        <v>57</v>
      </c>
      <c r="C21" s="54"/>
      <c r="D21" s="55"/>
      <c r="E21" s="30"/>
      <c r="F21" s="41"/>
      <c r="G21" s="41"/>
      <c r="H21" s="41"/>
      <c r="I21" s="41"/>
      <c r="J21" s="44"/>
      <c r="K21" s="46"/>
      <c r="L21" s="46"/>
      <c r="M21" s="46"/>
      <c r="N21" s="46"/>
      <c r="O21" s="46"/>
      <c r="P21" s="41"/>
      <c r="Q21" s="41"/>
      <c r="R21" s="47"/>
      <c r="S21" s="47"/>
      <c r="T21" s="47"/>
      <c r="U21" s="47"/>
      <c r="V21" s="47"/>
      <c r="W21" s="41"/>
    </row>
    <row r="22" spans="1:23" ht="14.4" customHeight="1" x14ac:dyDescent="0.3">
      <c r="A22" s="30"/>
      <c r="B22" s="56"/>
      <c r="C22" s="57"/>
      <c r="D22" s="58"/>
      <c r="E22" s="30"/>
      <c r="F22" s="41"/>
      <c r="G22" s="41"/>
      <c r="H22" s="41"/>
      <c r="I22" s="41"/>
      <c r="J22" s="44"/>
      <c r="K22" s="52" t="s">
        <v>74</v>
      </c>
      <c r="L22" s="52"/>
      <c r="M22" s="52"/>
      <c r="N22" s="52"/>
      <c r="O22" s="46"/>
      <c r="P22" s="51" t="s">
        <v>77</v>
      </c>
      <c r="Q22" s="51"/>
      <c r="R22" s="51"/>
      <c r="S22" s="51"/>
      <c r="T22" s="51"/>
      <c r="U22" s="51"/>
      <c r="V22" s="51"/>
      <c r="W22" s="41"/>
    </row>
    <row r="23" spans="1:23" ht="14.4" customHeight="1" x14ac:dyDescent="0.3">
      <c r="A23" s="30"/>
      <c r="B23" s="73">
        <f>WykresyKPI!B39</f>
        <v>1.1578597224862193</v>
      </c>
      <c r="C23" s="74"/>
      <c r="D23" s="75"/>
      <c r="E23" s="30"/>
      <c r="F23" s="41"/>
      <c r="G23" s="41"/>
      <c r="H23" s="41"/>
      <c r="I23" s="41"/>
      <c r="J23" s="44"/>
      <c r="K23" s="52"/>
      <c r="L23" s="52"/>
      <c r="M23" s="52"/>
      <c r="N23" s="52"/>
      <c r="O23" s="46"/>
      <c r="P23" s="51"/>
      <c r="Q23" s="51"/>
      <c r="R23" s="51"/>
      <c r="S23" s="51"/>
      <c r="T23" s="51"/>
      <c r="U23" s="51"/>
      <c r="V23" s="51"/>
      <c r="W23" s="41"/>
    </row>
    <row r="24" spans="1:23" ht="14.4" customHeight="1" x14ac:dyDescent="0.3">
      <c r="A24" s="30"/>
      <c r="B24" s="73"/>
      <c r="C24" s="74"/>
      <c r="D24" s="75"/>
      <c r="E24" s="30"/>
      <c r="F24" s="41"/>
      <c r="G24" s="41"/>
      <c r="H24" s="41"/>
      <c r="I24" s="41"/>
      <c r="J24" s="43"/>
      <c r="K24" s="52"/>
      <c r="L24" s="52"/>
      <c r="M24" s="52"/>
      <c r="N24" s="52"/>
      <c r="O24" s="46"/>
      <c r="P24" s="51"/>
      <c r="Q24" s="51"/>
      <c r="R24" s="51"/>
      <c r="S24" s="51"/>
      <c r="T24" s="51"/>
      <c r="U24" s="51"/>
      <c r="V24" s="51"/>
      <c r="W24" s="41"/>
    </row>
    <row r="25" spans="1:23" ht="15" customHeight="1" thickBot="1" x14ac:dyDescent="0.35">
      <c r="A25" s="30"/>
      <c r="B25" s="76"/>
      <c r="C25" s="77"/>
      <c r="D25" s="78"/>
      <c r="E25" s="30"/>
      <c r="F25" s="41"/>
      <c r="G25" s="41"/>
      <c r="H25" s="41"/>
      <c r="I25" s="41"/>
      <c r="J25" s="43"/>
      <c r="K25" s="52"/>
      <c r="L25" s="52"/>
      <c r="M25" s="52"/>
      <c r="N25" s="52"/>
      <c r="O25" s="46"/>
      <c r="P25" s="51"/>
      <c r="Q25" s="51"/>
      <c r="R25" s="51"/>
      <c r="S25" s="51"/>
      <c r="T25" s="51"/>
      <c r="U25" s="51"/>
      <c r="V25" s="51"/>
      <c r="W25" s="41"/>
    </row>
    <row r="26" spans="1:23" ht="15" customHeight="1" thickBot="1" x14ac:dyDescent="0.35">
      <c r="A26" s="30"/>
      <c r="B26" s="30"/>
      <c r="C26" s="30"/>
      <c r="D26" s="30"/>
      <c r="E26" s="30"/>
      <c r="F26" s="41"/>
      <c r="G26" s="41"/>
      <c r="H26" s="41"/>
      <c r="I26" s="41"/>
      <c r="J26" s="43"/>
      <c r="K26" s="52"/>
      <c r="L26" s="52"/>
      <c r="M26" s="52"/>
      <c r="N26" s="52"/>
      <c r="O26" s="46"/>
      <c r="P26" s="51"/>
      <c r="Q26" s="51"/>
      <c r="R26" s="51"/>
      <c r="S26" s="51"/>
      <c r="T26" s="51"/>
      <c r="U26" s="51"/>
      <c r="V26" s="51"/>
      <c r="W26" s="41"/>
    </row>
    <row r="27" spans="1:23" ht="14.4" customHeight="1" x14ac:dyDescent="0.3">
      <c r="A27" s="30"/>
      <c r="B27" s="53" t="s">
        <v>67</v>
      </c>
      <c r="C27" s="54"/>
      <c r="D27" s="55"/>
      <c r="E27" s="30"/>
      <c r="F27" s="41"/>
      <c r="G27" s="41"/>
      <c r="H27" s="41"/>
      <c r="I27" s="41"/>
      <c r="J27" s="42"/>
      <c r="K27" s="52"/>
      <c r="L27" s="52"/>
      <c r="M27" s="52"/>
      <c r="N27" s="52"/>
      <c r="O27" s="46"/>
      <c r="P27" s="51"/>
      <c r="Q27" s="51"/>
      <c r="R27" s="51"/>
      <c r="S27" s="51"/>
      <c r="T27" s="51"/>
      <c r="U27" s="51"/>
      <c r="V27" s="51"/>
      <c r="W27" s="41"/>
    </row>
    <row r="28" spans="1:23" ht="14.4" customHeight="1" x14ac:dyDescent="0.3">
      <c r="A28" s="30"/>
      <c r="B28" s="56"/>
      <c r="C28" s="57"/>
      <c r="D28" s="58"/>
      <c r="E28" s="30"/>
      <c r="F28" s="41"/>
      <c r="G28" s="41"/>
      <c r="H28" s="41"/>
      <c r="I28" s="41"/>
      <c r="J28" s="42"/>
      <c r="K28" s="52"/>
      <c r="L28" s="52"/>
      <c r="M28" s="52"/>
      <c r="N28" s="52"/>
      <c r="O28" s="46"/>
      <c r="P28" s="51"/>
      <c r="Q28" s="51"/>
      <c r="R28" s="51"/>
      <c r="S28" s="51"/>
      <c r="T28" s="51"/>
      <c r="U28" s="51"/>
      <c r="V28" s="51"/>
      <c r="W28" s="41"/>
    </row>
    <row r="29" spans="1:23" ht="14.4" customHeight="1" x14ac:dyDescent="0.3">
      <c r="A29" s="30"/>
      <c r="B29" s="59">
        <f>WykresyKPI!G23</f>
        <v>1.4952566438399196E-2</v>
      </c>
      <c r="C29" s="60"/>
      <c r="D29" s="61"/>
      <c r="E29" s="30"/>
      <c r="F29" s="41"/>
      <c r="G29" s="41"/>
      <c r="H29" s="41"/>
      <c r="I29" s="41"/>
      <c r="J29" s="42"/>
      <c r="K29" s="52"/>
      <c r="L29" s="52"/>
      <c r="M29" s="52"/>
      <c r="N29" s="52"/>
      <c r="O29" s="42"/>
      <c r="P29" s="51"/>
      <c r="Q29" s="51"/>
      <c r="R29" s="51"/>
      <c r="S29" s="51"/>
      <c r="T29" s="51"/>
      <c r="U29" s="51"/>
      <c r="V29" s="51"/>
      <c r="W29" s="41"/>
    </row>
    <row r="30" spans="1:23" ht="14.4" customHeight="1" x14ac:dyDescent="0.3">
      <c r="A30" s="30"/>
      <c r="B30" s="62"/>
      <c r="C30" s="60"/>
      <c r="D30" s="61"/>
      <c r="E30" s="30"/>
      <c r="F30" s="41"/>
      <c r="G30" s="41"/>
      <c r="H30" s="41"/>
      <c r="I30" s="41"/>
      <c r="J30" s="42"/>
      <c r="K30" s="52"/>
      <c r="L30" s="52"/>
      <c r="M30" s="52"/>
      <c r="N30" s="52"/>
      <c r="O30" s="42"/>
      <c r="P30" s="51"/>
      <c r="Q30" s="51"/>
      <c r="R30" s="51"/>
      <c r="S30" s="51"/>
      <c r="T30" s="51"/>
      <c r="U30" s="51"/>
      <c r="V30" s="51"/>
      <c r="W30" s="41"/>
    </row>
    <row r="31" spans="1:23" ht="15" customHeight="1" thickBot="1" x14ac:dyDescent="0.35">
      <c r="A31" s="30"/>
      <c r="B31" s="63"/>
      <c r="C31" s="64"/>
      <c r="D31" s="65"/>
      <c r="E31" s="30"/>
      <c r="F31" s="41"/>
      <c r="G31" s="41"/>
      <c r="H31" s="41"/>
      <c r="I31" s="41"/>
      <c r="J31" s="42"/>
      <c r="K31" s="52"/>
      <c r="L31" s="52"/>
      <c r="M31" s="52"/>
      <c r="N31" s="52"/>
      <c r="O31" s="42"/>
      <c r="P31" s="51"/>
      <c r="Q31" s="51"/>
      <c r="R31" s="51"/>
      <c r="S31" s="51"/>
      <c r="T31" s="51"/>
      <c r="U31" s="51"/>
      <c r="V31" s="51"/>
      <c r="W31" s="41"/>
    </row>
    <row r="32" spans="1:23" ht="14.4" customHeight="1" thickBot="1" x14ac:dyDescent="0.35">
      <c r="A32" s="30"/>
      <c r="B32" s="30"/>
      <c r="C32" s="30"/>
      <c r="D32" s="30"/>
      <c r="E32" s="30"/>
      <c r="F32" s="41"/>
      <c r="G32" s="41"/>
      <c r="H32" s="41"/>
      <c r="I32" s="41"/>
      <c r="J32" s="42"/>
      <c r="K32" s="52"/>
      <c r="L32" s="52"/>
      <c r="M32" s="52"/>
      <c r="N32" s="52"/>
      <c r="O32" s="42"/>
      <c r="P32" s="51"/>
      <c r="Q32" s="51"/>
      <c r="R32" s="51"/>
      <c r="S32" s="51"/>
      <c r="T32" s="51"/>
      <c r="U32" s="51"/>
      <c r="V32" s="51"/>
      <c r="W32" s="41"/>
    </row>
    <row r="33" spans="1:23" ht="14.4" customHeight="1" x14ac:dyDescent="0.3">
      <c r="A33" s="30"/>
      <c r="B33" s="53" t="s">
        <v>78</v>
      </c>
      <c r="C33" s="54"/>
      <c r="D33" s="55"/>
      <c r="E33" s="30"/>
      <c r="F33" s="41"/>
      <c r="G33" s="41"/>
      <c r="H33" s="41"/>
      <c r="I33" s="41"/>
      <c r="J33" s="42"/>
      <c r="K33" s="52"/>
      <c r="L33" s="52"/>
      <c r="M33" s="52"/>
      <c r="N33" s="52"/>
      <c r="O33" s="42"/>
      <c r="P33" s="51"/>
      <c r="Q33" s="51"/>
      <c r="R33" s="51"/>
      <c r="S33" s="51"/>
      <c r="T33" s="51"/>
      <c r="U33" s="51"/>
      <c r="V33" s="51"/>
      <c r="W33" s="41"/>
    </row>
    <row r="34" spans="1:23" ht="14.4" customHeight="1" x14ac:dyDescent="0.3">
      <c r="A34" s="30"/>
      <c r="B34" s="56"/>
      <c r="C34" s="57"/>
      <c r="D34" s="58"/>
      <c r="E34" s="30"/>
      <c r="F34" s="41"/>
      <c r="G34" s="41"/>
      <c r="H34" s="41"/>
      <c r="I34" s="41"/>
      <c r="J34" s="42"/>
      <c r="K34" s="52"/>
      <c r="L34" s="52"/>
      <c r="M34" s="52"/>
      <c r="N34" s="52"/>
      <c r="O34" s="42"/>
      <c r="P34" s="51"/>
      <c r="Q34" s="51"/>
      <c r="R34" s="51"/>
      <c r="S34" s="51"/>
      <c r="T34" s="51"/>
      <c r="U34" s="51"/>
      <c r="V34" s="51"/>
      <c r="W34" s="41"/>
    </row>
    <row r="35" spans="1:23" ht="14.4" customHeight="1" x14ac:dyDescent="0.3">
      <c r="A35" s="30"/>
      <c r="B35" s="110">
        <f>'Statystyka opisowa'!I5</f>
        <v>24366</v>
      </c>
      <c r="C35" s="111"/>
      <c r="D35" s="112"/>
      <c r="E35" s="30"/>
      <c r="F35" s="41"/>
      <c r="G35" s="41"/>
      <c r="H35" s="41"/>
      <c r="I35" s="41"/>
      <c r="J35" s="42"/>
      <c r="K35" s="52"/>
      <c r="L35" s="52"/>
      <c r="M35" s="52"/>
      <c r="N35" s="52"/>
      <c r="O35" s="42"/>
      <c r="P35" s="51"/>
      <c r="Q35" s="51"/>
      <c r="R35" s="51"/>
      <c r="S35" s="51"/>
      <c r="T35" s="51"/>
      <c r="U35" s="51"/>
      <c r="V35" s="51"/>
      <c r="W35" s="41"/>
    </row>
    <row r="36" spans="1:23" ht="14.4" customHeight="1" x14ac:dyDescent="0.3">
      <c r="A36" s="30"/>
      <c r="B36" s="110"/>
      <c r="C36" s="111"/>
      <c r="D36" s="112"/>
      <c r="E36" s="30"/>
      <c r="F36" s="41"/>
      <c r="G36" s="41"/>
      <c r="H36" s="41"/>
      <c r="I36" s="41"/>
      <c r="J36" s="42"/>
      <c r="K36" s="52"/>
      <c r="L36" s="52"/>
      <c r="M36" s="52"/>
      <c r="N36" s="52"/>
      <c r="O36" s="42"/>
      <c r="P36" s="51"/>
      <c r="Q36" s="51"/>
      <c r="R36" s="51"/>
      <c r="S36" s="51"/>
      <c r="T36" s="51"/>
      <c r="U36" s="51"/>
      <c r="V36" s="51"/>
      <c r="W36" s="41"/>
    </row>
    <row r="37" spans="1:23" ht="14.4" customHeight="1" thickBot="1" x14ac:dyDescent="0.35">
      <c r="A37" s="30"/>
      <c r="B37" s="113"/>
      <c r="C37" s="114"/>
      <c r="D37" s="115"/>
      <c r="E37" s="30"/>
      <c r="F37" s="41"/>
      <c r="G37" s="41"/>
      <c r="H37" s="41"/>
      <c r="I37" s="41"/>
      <c r="J37" s="42"/>
      <c r="K37" s="52"/>
      <c r="L37" s="52"/>
      <c r="M37" s="52"/>
      <c r="N37" s="52"/>
      <c r="O37" s="42"/>
      <c r="P37" s="51"/>
      <c r="Q37" s="51"/>
      <c r="R37" s="51"/>
      <c r="S37" s="51"/>
      <c r="T37" s="51"/>
      <c r="U37" s="51"/>
      <c r="V37" s="51"/>
      <c r="W37" s="41"/>
    </row>
    <row r="38" spans="1:23" ht="14.4" customHeight="1" x14ac:dyDescent="0.3">
      <c r="A38" s="30"/>
      <c r="B38" s="30"/>
      <c r="C38" s="30"/>
      <c r="D38" s="30"/>
      <c r="E38" s="30"/>
      <c r="F38" s="41"/>
      <c r="G38" s="41"/>
      <c r="H38" s="41"/>
      <c r="I38" s="41"/>
      <c r="J38" s="42"/>
      <c r="K38" s="52"/>
      <c r="L38" s="52"/>
      <c r="M38" s="52"/>
      <c r="N38" s="52"/>
      <c r="O38" s="42"/>
      <c r="P38" s="51"/>
      <c r="Q38" s="51"/>
      <c r="R38" s="51"/>
      <c r="S38" s="51"/>
      <c r="T38" s="51"/>
      <c r="U38" s="51"/>
      <c r="V38" s="51"/>
      <c r="W38" s="41"/>
    </row>
    <row r="39" spans="1:23" x14ac:dyDescent="0.3">
      <c r="A39" s="30"/>
      <c r="B39" s="30"/>
      <c r="C39" s="30"/>
      <c r="D39" s="30"/>
      <c r="E39" s="30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</sheetData>
  <mergeCells count="17">
    <mergeCell ref="B35:D37"/>
    <mergeCell ref="F2:W3"/>
    <mergeCell ref="K18:V20"/>
    <mergeCell ref="P22:V38"/>
    <mergeCell ref="K22:N38"/>
    <mergeCell ref="B27:D28"/>
    <mergeCell ref="B29:D31"/>
    <mergeCell ref="B9:D10"/>
    <mergeCell ref="B15:D16"/>
    <mergeCell ref="B17:D19"/>
    <mergeCell ref="B21:D22"/>
    <mergeCell ref="B23:D25"/>
    <mergeCell ref="B11:D12"/>
    <mergeCell ref="B13:D13"/>
    <mergeCell ref="B3:D4"/>
    <mergeCell ref="B5:D7"/>
    <mergeCell ref="B33:D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75D5-DA6D-4ECD-8A0F-2FB2816CCD21}">
  <dimension ref="A3:L52"/>
  <sheetViews>
    <sheetView zoomScale="70" zoomScaleNormal="70" workbookViewId="0">
      <selection activeCell="E50" sqref="E50"/>
    </sheetView>
  </sheetViews>
  <sheetFormatPr defaultRowHeight="14.4" x14ac:dyDescent="0.3"/>
  <cols>
    <col min="1" max="1" width="17.33203125" bestFit="1" customWidth="1"/>
    <col min="2" max="2" width="18.21875" bestFit="1" customWidth="1"/>
    <col min="3" max="3" width="35.5546875" bestFit="1" customWidth="1"/>
    <col min="4" max="4" width="16.6640625" bestFit="1" customWidth="1"/>
    <col min="5" max="6" width="24" bestFit="1" customWidth="1"/>
    <col min="7" max="7" width="25" bestFit="1" customWidth="1"/>
    <col min="8" max="8" width="24.88671875" bestFit="1" customWidth="1"/>
    <col min="10" max="10" width="17.33203125" bestFit="1" customWidth="1"/>
    <col min="11" max="11" width="25" bestFit="1" customWidth="1"/>
    <col min="12" max="12" width="24.88671875" bestFit="1" customWidth="1"/>
  </cols>
  <sheetData>
    <row r="3" spans="1:12" x14ac:dyDescent="0.3">
      <c r="A3" s="4" t="s">
        <v>8</v>
      </c>
      <c r="B3" t="s">
        <v>21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J3" s="4" t="s">
        <v>22</v>
      </c>
      <c r="K3" t="s">
        <v>41</v>
      </c>
      <c r="L3" t="s">
        <v>42</v>
      </c>
    </row>
    <row r="4" spans="1:12" x14ac:dyDescent="0.3">
      <c r="A4" s="5" t="s">
        <v>25</v>
      </c>
      <c r="B4">
        <v>432677</v>
      </c>
      <c r="C4">
        <v>15755</v>
      </c>
      <c r="D4">
        <v>12316</v>
      </c>
      <c r="E4">
        <v>6430</v>
      </c>
      <c r="F4">
        <v>1266</v>
      </c>
      <c r="G4">
        <v>90</v>
      </c>
      <c r="H4">
        <v>1447</v>
      </c>
      <c r="J4" s="5" t="s">
        <v>25</v>
      </c>
      <c r="K4">
        <v>90</v>
      </c>
      <c r="L4">
        <v>1447</v>
      </c>
    </row>
    <row r="5" spans="1:12" x14ac:dyDescent="0.3">
      <c r="A5" s="5" t="s">
        <v>26</v>
      </c>
      <c r="B5">
        <v>399441</v>
      </c>
      <c r="C5">
        <v>14794</v>
      </c>
      <c r="D5">
        <v>11387</v>
      </c>
      <c r="E5">
        <v>5972</v>
      </c>
      <c r="F5">
        <v>1064</v>
      </c>
      <c r="G5">
        <v>93</v>
      </c>
      <c r="H5">
        <v>1245</v>
      </c>
      <c r="J5" s="5" t="s">
        <v>26</v>
      </c>
      <c r="K5">
        <v>93</v>
      </c>
      <c r="L5">
        <v>1245</v>
      </c>
    </row>
    <row r="6" spans="1:12" x14ac:dyDescent="0.3">
      <c r="A6" s="5" t="s">
        <v>27</v>
      </c>
      <c r="B6">
        <v>477170</v>
      </c>
      <c r="C6">
        <v>17822</v>
      </c>
      <c r="D6">
        <v>11750</v>
      </c>
      <c r="E6">
        <v>8075</v>
      </c>
      <c r="F6">
        <v>1433</v>
      </c>
      <c r="G6">
        <v>106</v>
      </c>
      <c r="H6">
        <v>1673</v>
      </c>
      <c r="J6" s="5" t="s">
        <v>27</v>
      </c>
      <c r="K6">
        <v>106</v>
      </c>
      <c r="L6">
        <v>1673</v>
      </c>
    </row>
    <row r="7" spans="1:12" x14ac:dyDescent="0.3">
      <c r="A7" s="5" t="s">
        <v>28</v>
      </c>
      <c r="B7">
        <v>487892</v>
      </c>
      <c r="C7">
        <v>17459</v>
      </c>
      <c r="D7">
        <v>11327</v>
      </c>
      <c r="E7">
        <v>8414</v>
      </c>
      <c r="F7">
        <v>1814</v>
      </c>
      <c r="G7">
        <v>88</v>
      </c>
      <c r="H7">
        <v>2111</v>
      </c>
      <c r="J7" s="5" t="s">
        <v>28</v>
      </c>
      <c r="K7">
        <v>88</v>
      </c>
      <c r="L7">
        <v>2111</v>
      </c>
    </row>
    <row r="8" spans="1:12" x14ac:dyDescent="0.3">
      <c r="A8" s="5" t="s">
        <v>29</v>
      </c>
      <c r="B8">
        <v>486324</v>
      </c>
      <c r="C8">
        <v>17015</v>
      </c>
      <c r="D8">
        <v>10862</v>
      </c>
      <c r="E8">
        <v>8133</v>
      </c>
      <c r="F8">
        <v>1833</v>
      </c>
      <c r="G8">
        <v>131</v>
      </c>
      <c r="H8">
        <v>2073</v>
      </c>
      <c r="J8" s="5" t="s">
        <v>29</v>
      </c>
      <c r="K8">
        <v>131</v>
      </c>
      <c r="L8">
        <v>2073</v>
      </c>
    </row>
    <row r="9" spans="1:12" x14ac:dyDescent="0.3">
      <c r="A9" s="5" t="s">
        <v>30</v>
      </c>
      <c r="B9">
        <v>502049</v>
      </c>
      <c r="C9">
        <v>17003</v>
      </c>
      <c r="D9">
        <v>10932</v>
      </c>
      <c r="E9">
        <v>9118</v>
      </c>
      <c r="F9">
        <v>2138</v>
      </c>
      <c r="G9">
        <v>122</v>
      </c>
      <c r="H9">
        <v>2491</v>
      </c>
      <c r="J9" s="5" t="s">
        <v>30</v>
      </c>
      <c r="K9">
        <v>122</v>
      </c>
      <c r="L9">
        <v>2491</v>
      </c>
    </row>
    <row r="10" spans="1:12" x14ac:dyDescent="0.3">
      <c r="A10" s="5" t="s">
        <v>31</v>
      </c>
      <c r="B10">
        <v>522628</v>
      </c>
      <c r="C10">
        <v>18436</v>
      </c>
      <c r="D10">
        <v>11968</v>
      </c>
      <c r="E10">
        <v>9624</v>
      </c>
      <c r="F10">
        <v>2130</v>
      </c>
      <c r="G10">
        <v>138</v>
      </c>
      <c r="H10">
        <v>2529</v>
      </c>
      <c r="J10" s="5" t="s">
        <v>31</v>
      </c>
      <c r="K10">
        <v>138</v>
      </c>
      <c r="L10">
        <v>2529</v>
      </c>
    </row>
    <row r="11" spans="1:12" x14ac:dyDescent="0.3">
      <c r="A11" s="5" t="s">
        <v>32</v>
      </c>
      <c r="B11">
        <v>513534</v>
      </c>
      <c r="C11">
        <v>17386</v>
      </c>
      <c r="D11">
        <v>9512</v>
      </c>
      <c r="E11">
        <v>9551</v>
      </c>
      <c r="F11">
        <v>2213</v>
      </c>
      <c r="G11">
        <v>162</v>
      </c>
      <c r="H11">
        <v>2582</v>
      </c>
      <c r="J11" s="5" t="s">
        <v>32</v>
      </c>
      <c r="K11">
        <v>162</v>
      </c>
      <c r="L11">
        <v>2582</v>
      </c>
    </row>
    <row r="12" spans="1:12" x14ac:dyDescent="0.3">
      <c r="A12" s="5" t="s">
        <v>33</v>
      </c>
      <c r="B12">
        <v>478117</v>
      </c>
      <c r="C12">
        <v>17001</v>
      </c>
      <c r="D12">
        <v>10583</v>
      </c>
      <c r="E12">
        <v>8607</v>
      </c>
      <c r="F12">
        <v>2076</v>
      </c>
      <c r="G12">
        <v>135</v>
      </c>
      <c r="H12">
        <v>2335</v>
      </c>
      <c r="J12" s="5" t="s">
        <v>33</v>
      </c>
      <c r="K12">
        <v>135</v>
      </c>
      <c r="L12">
        <v>2335</v>
      </c>
    </row>
    <row r="13" spans="1:12" x14ac:dyDescent="0.3">
      <c r="A13" s="5" t="s">
        <v>34</v>
      </c>
      <c r="B13">
        <v>492815</v>
      </c>
      <c r="C13">
        <v>17594</v>
      </c>
      <c r="D13">
        <v>11751</v>
      </c>
      <c r="E13">
        <v>8287</v>
      </c>
      <c r="F13">
        <v>1893</v>
      </c>
      <c r="G13">
        <v>124</v>
      </c>
      <c r="H13">
        <v>2155</v>
      </c>
      <c r="J13" s="5" t="s">
        <v>34</v>
      </c>
      <c r="K13">
        <v>124</v>
      </c>
      <c r="L13">
        <v>2155</v>
      </c>
    </row>
    <row r="14" spans="1:12" x14ac:dyDescent="0.3">
      <c r="A14" s="5" t="s">
        <v>35</v>
      </c>
      <c r="B14">
        <v>465759</v>
      </c>
      <c r="C14">
        <v>15210</v>
      </c>
      <c r="D14">
        <v>10421</v>
      </c>
      <c r="E14">
        <v>7066</v>
      </c>
      <c r="F14">
        <v>1520</v>
      </c>
      <c r="G14">
        <v>106</v>
      </c>
      <c r="H14">
        <v>1830</v>
      </c>
      <c r="J14" s="5" t="s">
        <v>35</v>
      </c>
      <c r="K14">
        <v>106</v>
      </c>
      <c r="L14">
        <v>1830</v>
      </c>
    </row>
    <row r="15" spans="1:12" x14ac:dyDescent="0.3">
      <c r="A15" s="5" t="s">
        <v>36</v>
      </c>
      <c r="B15">
        <v>486255</v>
      </c>
      <c r="C15">
        <v>15606</v>
      </c>
      <c r="D15">
        <v>11366</v>
      </c>
      <c r="E15">
        <v>6929</v>
      </c>
      <c r="F15">
        <v>1664</v>
      </c>
      <c r="G15">
        <v>142</v>
      </c>
      <c r="H15">
        <v>1895</v>
      </c>
      <c r="J15" s="5" t="s">
        <v>36</v>
      </c>
      <c r="K15">
        <v>142</v>
      </c>
      <c r="L15">
        <v>1895</v>
      </c>
    </row>
    <row r="16" spans="1:12" x14ac:dyDescent="0.3">
      <c r="A16" s="5" t="s">
        <v>23</v>
      </c>
      <c r="B16">
        <v>5744661</v>
      </c>
      <c r="C16">
        <v>201081</v>
      </c>
      <c r="D16">
        <v>134175</v>
      </c>
      <c r="E16">
        <v>96206</v>
      </c>
      <c r="F16">
        <v>21044</v>
      </c>
      <c r="G16">
        <v>1437</v>
      </c>
      <c r="H16">
        <v>24366</v>
      </c>
      <c r="J16" s="5" t="s">
        <v>23</v>
      </c>
      <c r="K16">
        <v>1437</v>
      </c>
      <c r="L16">
        <v>24366</v>
      </c>
    </row>
    <row r="18" spans="4:8" ht="15" thickBot="1" x14ac:dyDescent="0.35"/>
    <row r="19" spans="4:8" x14ac:dyDescent="0.3">
      <c r="D19" s="4" t="s">
        <v>53</v>
      </c>
      <c r="E19" t="s">
        <v>52</v>
      </c>
      <c r="G19" s="91" t="s">
        <v>59</v>
      </c>
      <c r="H19" s="92"/>
    </row>
    <row r="20" spans="4:8" ht="15" thickBot="1" x14ac:dyDescent="0.35">
      <c r="D20" s="5" t="s">
        <v>49</v>
      </c>
      <c r="E20" s="40">
        <v>46.943396226415096</v>
      </c>
      <c r="G20" s="101">
        <f>( DanePolicja!J2:J368/DanePolicja!H2:H368)*1000</f>
        <v>22.670685362337831</v>
      </c>
      <c r="H20" s="102"/>
    </row>
    <row r="21" spans="4:8" ht="15" thickBot="1" x14ac:dyDescent="0.35">
      <c r="D21" s="5" t="s">
        <v>48</v>
      </c>
      <c r="E21" s="40">
        <v>54.735849056603776</v>
      </c>
    </row>
    <row r="22" spans="4:8" x14ac:dyDescent="0.3">
      <c r="D22" s="5" t="s">
        <v>44</v>
      </c>
      <c r="E22" s="40">
        <v>55.403846153846153</v>
      </c>
      <c r="G22" s="91" t="s">
        <v>58</v>
      </c>
      <c r="H22" s="92"/>
    </row>
    <row r="23" spans="4:8" x14ac:dyDescent="0.3">
      <c r="D23" s="5" t="s">
        <v>45</v>
      </c>
      <c r="E23" s="40">
        <v>58.28846153846154</v>
      </c>
      <c r="G23" s="103">
        <f>DanePolicja!K2:K368/DanePolicja!H2:H368</f>
        <v>1.4952566438399196E-2</v>
      </c>
      <c r="H23" s="104"/>
    </row>
    <row r="24" spans="4:8" x14ac:dyDescent="0.3">
      <c r="D24" s="5" t="s">
        <v>43</v>
      </c>
      <c r="E24" s="40">
        <v>59.962264150943398</v>
      </c>
      <c r="G24" s="103"/>
      <c r="H24" s="104"/>
    </row>
    <row r="25" spans="4:8" x14ac:dyDescent="0.3">
      <c r="D25" s="5" t="s">
        <v>46</v>
      </c>
      <c r="E25" s="40">
        <v>61.365384615384613</v>
      </c>
      <c r="G25" s="103"/>
      <c r="H25" s="104"/>
    </row>
    <row r="26" spans="4:8" ht="15" thickBot="1" x14ac:dyDescent="0.35">
      <c r="D26" s="5" t="s">
        <v>47</v>
      </c>
      <c r="E26" s="40">
        <v>64.884615384615387</v>
      </c>
      <c r="G26" s="105"/>
      <c r="H26" s="106"/>
    </row>
    <row r="27" spans="4:8" x14ac:dyDescent="0.3">
      <c r="D27" s="5" t="s">
        <v>23</v>
      </c>
      <c r="E27" s="40">
        <v>57.340599455040874</v>
      </c>
    </row>
    <row r="28" spans="4:8" ht="15" thickBot="1" x14ac:dyDescent="0.35"/>
    <row r="29" spans="4:8" x14ac:dyDescent="0.3">
      <c r="D29" s="4" t="s">
        <v>56</v>
      </c>
      <c r="E29" t="s">
        <v>55</v>
      </c>
      <c r="F29" t="s">
        <v>52</v>
      </c>
      <c r="H29" s="31" t="s">
        <v>60</v>
      </c>
    </row>
    <row r="30" spans="4:8" ht="15" thickBot="1" x14ac:dyDescent="0.35">
      <c r="D30" s="5" t="s">
        <v>50</v>
      </c>
      <c r="E30" s="40">
        <v>249.44061302681993</v>
      </c>
      <c r="F30" s="40">
        <v>59.980842911877396</v>
      </c>
      <c r="H30" s="32">
        <f>IFERROR(DanePolicja!M:M / (DanePolicja!M:M + DanePolicja!N:N), 0)</f>
        <v>2.5974025974025976E-2</v>
      </c>
    </row>
    <row r="31" spans="4:8" x14ac:dyDescent="0.3">
      <c r="D31" s="5" t="s">
        <v>51</v>
      </c>
      <c r="E31" s="40">
        <v>293.41509433962267</v>
      </c>
      <c r="F31" s="40">
        <v>50.839622641509436</v>
      </c>
    </row>
    <row r="32" spans="4:8" ht="15" thickBot="1" x14ac:dyDescent="0.35">
      <c r="D32" s="5" t="s">
        <v>23</v>
      </c>
      <c r="E32" s="40">
        <v>262.14168937329703</v>
      </c>
      <c r="F32" s="40">
        <v>57.340599455040874</v>
      </c>
    </row>
    <row r="33" spans="2:11" x14ac:dyDescent="0.3">
      <c r="H33" s="31" t="s">
        <v>70</v>
      </c>
    </row>
    <row r="34" spans="2:11" ht="15" thickBot="1" x14ac:dyDescent="0.35">
      <c r="H34" s="33">
        <f>IFERROR(DanePolicja!K:K / DanePolicja!L:L, 0)</f>
        <v>4.0655737704918034</v>
      </c>
    </row>
    <row r="35" spans="2:11" x14ac:dyDescent="0.3">
      <c r="B35" s="91" t="s">
        <v>54</v>
      </c>
      <c r="C35" s="92"/>
    </row>
    <row r="36" spans="2:11" ht="15" thickBot="1" x14ac:dyDescent="0.35">
      <c r="B36" s="107">
        <f>COUNTIF(Tabela1[Zabici w wypadkach], 0) / COUNT(Tabela1[Zabici w wypadkach])</f>
        <v>1.9073569482288829E-2</v>
      </c>
      <c r="C36" s="108"/>
    </row>
    <row r="37" spans="2:11" ht="15" thickBot="1" x14ac:dyDescent="0.35">
      <c r="F37" s="34" t="s">
        <v>61</v>
      </c>
      <c r="G37" s="35" t="s">
        <v>64</v>
      </c>
      <c r="J37" t="s">
        <v>56</v>
      </c>
      <c r="K37" t="s">
        <v>65</v>
      </c>
    </row>
    <row r="38" spans="2:11" x14ac:dyDescent="0.3">
      <c r="B38" s="91" t="s">
        <v>57</v>
      </c>
      <c r="C38" s="92"/>
      <c r="F38" s="36" t="s">
        <v>62</v>
      </c>
      <c r="G38" s="37">
        <f>SUM(Tabela1[Zatrzymani na gorącym uczynku])</f>
        <v>201081</v>
      </c>
      <c r="J38" t="s">
        <v>68</v>
      </c>
      <c r="K38" s="40">
        <f>GETPIVOTDATA("Średnia z Kierujący po spożyciu alkoholu",$D$29,"Czy weekend","TAK")</f>
        <v>293.41509433962267</v>
      </c>
    </row>
    <row r="39" spans="2:11" ht="15" thickBot="1" x14ac:dyDescent="0.35">
      <c r="B39" s="93">
        <f>GETPIVOTDATA("Suma z Ranni w wypadkach",$A$3)/GETPIVOTDATA("Suma z Wypadki drogowe",$A$3)</f>
        <v>1.1578597224862193</v>
      </c>
      <c r="C39" s="94"/>
      <c r="F39" s="38" t="s">
        <v>63</v>
      </c>
      <c r="G39" s="39">
        <f>SUM(Tabela1[Zatrzymani poszukiwani])</f>
        <v>134175</v>
      </c>
      <c r="J39" t="s">
        <v>69</v>
      </c>
      <c r="K39" s="40">
        <f>GETPIVOTDATA("Średnia z Kierujący po spożyciu alkoholu",$D$29,"Czy weekend","NIE")</f>
        <v>249.44061302681993</v>
      </c>
    </row>
    <row r="40" spans="2:11" x14ac:dyDescent="0.3">
      <c r="B40" s="93"/>
      <c r="C40" s="94"/>
    </row>
    <row r="41" spans="2:11" x14ac:dyDescent="0.3">
      <c r="B41" s="93"/>
      <c r="C41" s="94"/>
    </row>
    <row r="42" spans="2:11" ht="15" thickBot="1" x14ac:dyDescent="0.35">
      <c r="B42" s="95"/>
      <c r="C42" s="96"/>
    </row>
    <row r="46" spans="2:11" ht="15" thickBot="1" x14ac:dyDescent="0.35"/>
    <row r="47" spans="2:11" x14ac:dyDescent="0.3">
      <c r="C47" s="99" t="s">
        <v>66</v>
      </c>
    </row>
    <row r="48" spans="2:11" x14ac:dyDescent="0.3">
      <c r="C48" s="100"/>
    </row>
    <row r="49" spans="3:3" x14ac:dyDescent="0.3">
      <c r="C49" s="97">
        <f>GETPIVOTDATA("Suma z Interwencje",$A$3)</f>
        <v>5744661</v>
      </c>
    </row>
    <row r="50" spans="3:3" x14ac:dyDescent="0.3">
      <c r="C50" s="97"/>
    </row>
    <row r="51" spans="3:3" x14ac:dyDescent="0.3">
      <c r="C51" s="97"/>
    </row>
    <row r="52" spans="3:3" ht="15" thickBot="1" x14ac:dyDescent="0.35">
      <c r="C52" s="98"/>
    </row>
  </sheetData>
  <mergeCells count="10">
    <mergeCell ref="B38:C38"/>
    <mergeCell ref="B39:C42"/>
    <mergeCell ref="C49:C52"/>
    <mergeCell ref="C47:C48"/>
    <mergeCell ref="G19:H19"/>
    <mergeCell ref="G20:H20"/>
    <mergeCell ref="G22:H22"/>
    <mergeCell ref="G23:H26"/>
    <mergeCell ref="B35:C35"/>
    <mergeCell ref="B36:C36"/>
  </mergeCells>
  <conditionalFormatting pivot="1" sqref="B4:B15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C4:C15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D4:D15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E4:E15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F4:F1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G4:G1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H4:H1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E20:E2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62B3-2A69-40FF-8DFA-C7B2CDCF127F}">
  <dimension ref="A1:I15"/>
  <sheetViews>
    <sheetView workbookViewId="0">
      <selection activeCell="I5" sqref="I5"/>
    </sheetView>
  </sheetViews>
  <sheetFormatPr defaultRowHeight="14.4" x14ac:dyDescent="0.3"/>
  <cols>
    <col min="1" max="1" width="17.77734375" customWidth="1"/>
    <col min="2" max="2" width="16.33203125" bestFit="1" customWidth="1"/>
    <col min="3" max="4" width="28.88671875" bestFit="1" customWidth="1"/>
    <col min="5" max="5" width="28" bestFit="1" customWidth="1"/>
    <col min="6" max="6" width="28.21875" bestFit="1" customWidth="1"/>
    <col min="7" max="7" width="18.44140625" bestFit="1" customWidth="1"/>
    <col min="8" max="8" width="18.21875" bestFit="1" customWidth="1"/>
    <col min="9" max="9" width="18" bestFit="1" customWidth="1"/>
  </cols>
  <sheetData>
    <row r="1" spans="1:9" ht="15" thickBot="1" x14ac:dyDescent="0.35">
      <c r="A1" s="8"/>
      <c r="B1" s="6"/>
      <c r="C1" s="6"/>
      <c r="D1" s="6"/>
      <c r="E1" s="6"/>
      <c r="F1" s="6"/>
      <c r="G1" s="6"/>
      <c r="H1" s="7"/>
    </row>
    <row r="2" spans="1:9" ht="15" thickBot="1" x14ac:dyDescent="0.35">
      <c r="A2" s="9"/>
      <c r="B2" s="26" t="s">
        <v>14</v>
      </c>
      <c r="C2" s="27" t="s">
        <v>1</v>
      </c>
      <c r="D2" s="28" t="s">
        <v>24</v>
      </c>
      <c r="E2" s="28" t="s">
        <v>3</v>
      </c>
      <c r="F2" s="28" t="s">
        <v>4</v>
      </c>
      <c r="G2" s="28" t="s">
        <v>5</v>
      </c>
      <c r="H2" s="28" t="s">
        <v>6</v>
      </c>
      <c r="I2" s="29" t="s">
        <v>7</v>
      </c>
    </row>
    <row r="3" spans="1:9" x14ac:dyDescent="0.3">
      <c r="A3" s="9"/>
      <c r="B3" s="10" t="s">
        <v>15</v>
      </c>
      <c r="C3" s="11">
        <f>AVERAGE(DanePolicja!H:H)</f>
        <v>15653.027247956403</v>
      </c>
      <c r="D3" s="12">
        <f>AVERAGE(DanePolicja!I:I)</f>
        <v>547.90463215258853</v>
      </c>
      <c r="E3" s="12">
        <f>AVERAGE(DanePolicja!J:J)</f>
        <v>365.59945504087193</v>
      </c>
      <c r="F3" s="12">
        <f>AVERAGE(DanePolicja!K:K)</f>
        <v>262.14168937329703</v>
      </c>
      <c r="G3" s="12">
        <f>AVERAGE(DanePolicja!L:L)</f>
        <v>57.340599455040874</v>
      </c>
      <c r="H3" s="12">
        <f>AVERAGE(DanePolicja!M:M)</f>
        <v>3.915531335149864</v>
      </c>
      <c r="I3" s="13">
        <f>AVERAGE(DanePolicja!N:N)</f>
        <v>66.392370572207085</v>
      </c>
    </row>
    <row r="4" spans="1:9" x14ac:dyDescent="0.3">
      <c r="A4" s="9"/>
      <c r="B4" s="14" t="s">
        <v>16</v>
      </c>
      <c r="C4" s="15">
        <f>MEDIAN(DanePolicja!H:H)</f>
        <v>15716</v>
      </c>
      <c r="D4" s="16">
        <f>MEDIAN(DanePolicja!I:I)</f>
        <v>548</v>
      </c>
      <c r="E4" s="16">
        <f>MEDIAN(DanePolicja!J:J)</f>
        <v>383</v>
      </c>
      <c r="F4" s="16">
        <f>MEDIAN(DanePolicja!K:K)</f>
        <v>249</v>
      </c>
      <c r="G4" s="16">
        <f>MEDIAN(DanePolicja!L:L)</f>
        <v>57</v>
      </c>
      <c r="H4" s="16">
        <f>MEDIAN(DanePolicja!M:M)</f>
        <v>4</v>
      </c>
      <c r="I4" s="17">
        <f>MEDIAN(DanePolicja!N:N)</f>
        <v>66</v>
      </c>
    </row>
    <row r="5" spans="1:9" x14ac:dyDescent="0.3">
      <c r="A5" s="9"/>
      <c r="B5" s="18" t="s">
        <v>17</v>
      </c>
      <c r="C5" s="19">
        <f>SUM(DanePolicja!H:H)</f>
        <v>5744661</v>
      </c>
      <c r="D5" s="20">
        <f>SUM(DanePolicja!I:I)</f>
        <v>201081</v>
      </c>
      <c r="E5" s="20">
        <f>SUM(DanePolicja!J:J)</f>
        <v>134175</v>
      </c>
      <c r="F5" s="20">
        <f>SUM(DanePolicja!K:K)</f>
        <v>96206</v>
      </c>
      <c r="G5" s="20">
        <f>SUM(DanePolicja!L:L)</f>
        <v>21044</v>
      </c>
      <c r="H5" s="20">
        <f>SUM(DanePolicja!M:M)</f>
        <v>1437</v>
      </c>
      <c r="I5" s="21">
        <f>SUM(DanePolicja!N:N)</f>
        <v>24366</v>
      </c>
    </row>
    <row r="6" spans="1:9" x14ac:dyDescent="0.3">
      <c r="A6" s="9"/>
      <c r="B6" s="14" t="s">
        <v>18</v>
      </c>
      <c r="C6" s="15">
        <f>MIN(DanePolicja!H:H)</f>
        <v>9777</v>
      </c>
      <c r="D6" s="16">
        <f>MIN(DanePolicja!I:I)</f>
        <v>332</v>
      </c>
      <c r="E6" s="16">
        <f>MIN(DanePolicja!J:J)</f>
        <v>162</v>
      </c>
      <c r="F6" s="16">
        <f>MIN(DanePolicja!K:K)</f>
        <v>122</v>
      </c>
      <c r="G6" s="16">
        <f>MIN(DanePolicja!L:L)</f>
        <v>16</v>
      </c>
      <c r="H6" s="16">
        <f>MIN(DanePolicja!M:M)</f>
        <v>0</v>
      </c>
      <c r="I6" s="17">
        <f>MIN(DanePolicja!N:N)</f>
        <v>15</v>
      </c>
    </row>
    <row r="7" spans="1:9" x14ac:dyDescent="0.3">
      <c r="A7" s="9"/>
      <c r="B7" s="18" t="s">
        <v>19</v>
      </c>
      <c r="C7" s="19">
        <f>MAX(DanePolicja!H:H)</f>
        <v>21130</v>
      </c>
      <c r="D7" s="20">
        <f>MAX(DanePolicja!I:I)</f>
        <v>816</v>
      </c>
      <c r="E7" s="20">
        <f>MAX(DanePolicja!J:J)</f>
        <v>1042</v>
      </c>
      <c r="F7" s="20">
        <f>MAX(DanePolicja!K:K)</f>
        <v>675</v>
      </c>
      <c r="G7" s="20">
        <f>MAX(DanePolicja!L:L)</f>
        <v>111</v>
      </c>
      <c r="H7" s="20">
        <f>MAX(DanePolicja!M:M)</f>
        <v>21</v>
      </c>
      <c r="I7" s="21">
        <f>MAX(DanePolicja!N:N)</f>
        <v>121</v>
      </c>
    </row>
    <row r="8" spans="1:9" ht="15" thickBot="1" x14ac:dyDescent="0.35">
      <c r="A8" s="9"/>
      <c r="B8" s="22" t="s">
        <v>20</v>
      </c>
      <c r="C8" s="23">
        <f>_xlfn.STDEV.S(DanePolicja!H:H)</f>
        <v>1612.8690823656948</v>
      </c>
      <c r="D8" s="24">
        <f>_xlfn.STDEV.S(DanePolicja!I:I)</f>
        <v>69.519931924367356</v>
      </c>
      <c r="E8" s="24">
        <f>_xlfn.STDEV.S(DanePolicja!J:J)</f>
        <v>123.61276261644437</v>
      </c>
      <c r="F8" s="24">
        <f>_xlfn.STDEV.S(DanePolicja!K:K)</f>
        <v>77.566622732754965</v>
      </c>
      <c r="G8" s="24">
        <f>_xlfn.STDEV.S(DanePolicja!L:L)</f>
        <v>17.060037433584387</v>
      </c>
      <c r="H8" s="24">
        <f>_xlfn.STDEV.S(DanePolicja!M:M)</f>
        <v>2.4114829300307377</v>
      </c>
      <c r="I8" s="25">
        <f>_xlfn.STDEV.S(DanePolicja!N:N)</f>
        <v>19.526603586996941</v>
      </c>
    </row>
    <row r="10" spans="1:9" x14ac:dyDescent="0.3">
      <c r="C10" s="109" t="s">
        <v>76</v>
      </c>
      <c r="D10" s="109"/>
      <c r="E10" s="109"/>
      <c r="F10" s="109"/>
      <c r="G10" s="109"/>
      <c r="H10" s="109"/>
    </row>
    <row r="11" spans="1:9" x14ac:dyDescent="0.3">
      <c r="C11" s="109"/>
      <c r="D11" s="109"/>
      <c r="E11" s="109"/>
      <c r="F11" s="109"/>
      <c r="G11" s="109"/>
      <c r="H11" s="109"/>
    </row>
    <row r="12" spans="1:9" x14ac:dyDescent="0.3">
      <c r="C12" s="109"/>
      <c r="D12" s="109"/>
      <c r="E12" s="109"/>
      <c r="F12" s="109"/>
      <c r="G12" s="109"/>
      <c r="H12" s="109"/>
    </row>
    <row r="13" spans="1:9" x14ac:dyDescent="0.3">
      <c r="C13" s="109"/>
      <c r="D13" s="109"/>
      <c r="E13" s="109"/>
      <c r="F13" s="109"/>
      <c r="G13" s="109"/>
      <c r="H13" s="109"/>
    </row>
    <row r="14" spans="1:9" x14ac:dyDescent="0.3">
      <c r="C14" s="109"/>
      <c r="D14" s="109"/>
      <c r="E14" s="109"/>
      <c r="F14" s="109"/>
      <c r="G14" s="109"/>
      <c r="H14" s="109"/>
    </row>
    <row r="15" spans="1:9" x14ac:dyDescent="0.3">
      <c r="C15" s="109"/>
      <c r="D15" s="109"/>
      <c r="E15" s="109"/>
      <c r="F15" s="109"/>
      <c r="G15" s="109"/>
      <c r="H15" s="109"/>
    </row>
  </sheetData>
  <mergeCells count="1">
    <mergeCell ref="C10:H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2D14-4AD3-4E46-A8C7-09D01A2B9C6A}">
  <dimension ref="A1:N368"/>
  <sheetViews>
    <sheetView zoomScale="86" zoomScaleNormal="86" workbookViewId="0">
      <selection activeCell="K1" sqref="K1:K1048576"/>
    </sheetView>
  </sheetViews>
  <sheetFormatPr defaultRowHeight="14.4" x14ac:dyDescent="0.3"/>
  <cols>
    <col min="1" max="1" width="11.109375" style="1" bestFit="1" customWidth="1"/>
    <col min="2" max="2" width="10.44140625" style="1" customWidth="1"/>
    <col min="3" max="3" width="18.88671875" style="1" customWidth="1"/>
    <col min="4" max="5" width="18.88671875" customWidth="1"/>
    <col min="6" max="6" width="18.88671875" style="2" customWidth="1"/>
    <col min="7" max="7" width="27.88671875" style="3" customWidth="1"/>
    <col min="8" max="8" width="13.33203125" customWidth="1"/>
    <col min="9" max="9" width="30.109375" customWidth="1"/>
    <col min="10" max="10" width="23.44140625" customWidth="1"/>
    <col min="11" max="11" width="29.5546875" customWidth="1"/>
    <col min="12" max="12" width="18.33203125" customWidth="1"/>
    <col min="13" max="13" width="19.88671875" customWidth="1"/>
    <col min="14" max="14" width="19.77734375" customWidth="1"/>
  </cols>
  <sheetData>
    <row r="1" spans="1:14" x14ac:dyDescent="0.3">
      <c r="A1" s="1" t="s">
        <v>0</v>
      </c>
      <c r="B1" s="1" t="s">
        <v>8</v>
      </c>
      <c r="C1" s="1" t="s">
        <v>9</v>
      </c>
      <c r="D1" t="s">
        <v>10</v>
      </c>
      <c r="E1" t="s">
        <v>11</v>
      </c>
      <c r="F1" s="2" t="s">
        <v>12</v>
      </c>
      <c r="G1" s="3" t="s">
        <v>13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</row>
    <row r="2" spans="1:14" x14ac:dyDescent="0.3">
      <c r="A2" s="1">
        <v>45999</v>
      </c>
      <c r="B2" s="1" t="str">
        <f>TEXT(Tabela1[[#This Row],[Data]],"mmmm")</f>
        <v>grudzień</v>
      </c>
      <c r="C2" s="1" t="str">
        <f>TEXT(Tabela1[[#This Row],[Data]],"dddd")</f>
        <v>poniedziałek</v>
      </c>
      <c r="D2">
        <f>WEEKNUM(Tabela1[[#This Row],[Data]],2)</f>
        <v>50</v>
      </c>
      <c r="E2" t="str">
        <f>IF(WEEKDAY(Tabela1[[#This Row],[Data]],2)&gt;5,"TAK","NIE")</f>
        <v>NIE</v>
      </c>
      <c r="F2" s="2">
        <f>IF(Tabela1[[#This Row],[Wypadki drogowe]]=0,0,Tabela1[[#This Row],[Zabici w wypadkach]]/Tabela1[[#This Row],[Wypadki drogowe]])</f>
        <v>0.12962962962962962</v>
      </c>
      <c r="G2" s="40">
        <f>(Tabela1[[#This Row],[Zatrzymani na gorącym uczynku]]/Tabela1[[#This Row],[Interwencje]])*1000</f>
        <v>31.659993840468122</v>
      </c>
      <c r="H2">
        <v>16235</v>
      </c>
      <c r="I2">
        <v>514</v>
      </c>
      <c r="J2">
        <v>380</v>
      </c>
      <c r="K2">
        <v>277</v>
      </c>
      <c r="L2">
        <v>54</v>
      </c>
      <c r="M2">
        <v>7</v>
      </c>
      <c r="N2">
        <v>57</v>
      </c>
    </row>
    <row r="3" spans="1:14" x14ac:dyDescent="0.3">
      <c r="A3" s="1">
        <v>45998</v>
      </c>
      <c r="B3" s="1" t="str">
        <f>TEXT(Tabela1[[#This Row],[Data]],"mmmm")</f>
        <v>grudzień</v>
      </c>
      <c r="C3" s="1" t="str">
        <f>TEXT(Tabela1[[#This Row],[Data]],"dddd")</f>
        <v>niedziela</v>
      </c>
      <c r="D3">
        <f>WEEKNUM(Tabela1[[#This Row],[Data]],2)</f>
        <v>49</v>
      </c>
      <c r="E3" t="str">
        <f>IF(WEEKDAY(Tabela1[[#This Row],[Data]],2)&gt;5,"TAK","NIE")</f>
        <v>TAK</v>
      </c>
      <c r="F3" s="2">
        <f>IF(Tabela1[[#This Row],[Wypadki drogowe]]=0,0,Tabela1[[#This Row],[Zabici w wypadkach]]/Tabela1[[#This Row],[Wypadki drogowe]])</f>
        <v>3.7037037037037035E-2</v>
      </c>
      <c r="G3" s="40">
        <f>(Tabela1[[#This Row],[Zatrzymani na gorącym uczynku]]/Tabela1[[#This Row],[Interwencje]])*1000</f>
        <v>35.918538150369649</v>
      </c>
      <c r="H3">
        <v>14338</v>
      </c>
      <c r="I3">
        <v>515</v>
      </c>
      <c r="J3">
        <v>231</v>
      </c>
      <c r="K3">
        <v>222</v>
      </c>
      <c r="L3">
        <v>27</v>
      </c>
      <c r="M3">
        <v>1</v>
      </c>
      <c r="N3">
        <v>37</v>
      </c>
    </row>
    <row r="4" spans="1:14" x14ac:dyDescent="0.3">
      <c r="A4" s="1">
        <v>45997</v>
      </c>
      <c r="B4" s="1" t="str">
        <f>TEXT(Tabela1[[#This Row],[Data]],"mmmm")</f>
        <v>grudzień</v>
      </c>
      <c r="C4" s="1" t="str">
        <f>TEXT(Tabela1[[#This Row],[Data]],"dddd")</f>
        <v>sobota</v>
      </c>
      <c r="D4">
        <f>WEEKNUM(Tabela1[[#This Row],[Data]],2)</f>
        <v>49</v>
      </c>
      <c r="E4" t="str">
        <f>IF(WEEKDAY(Tabela1[[#This Row],[Data]],2)&gt;5,"TAK","NIE")</f>
        <v>TAK</v>
      </c>
      <c r="F4" s="2">
        <f>IF(Tabela1[[#This Row],[Wypadki drogowe]]=0,0,Tabela1[[#This Row],[Zabici w wypadkach]]/Tabela1[[#This Row],[Wypadki drogowe]])</f>
        <v>0.10714285714285714</v>
      </c>
      <c r="G4" s="40">
        <f>(Tabela1[[#This Row],[Zatrzymani na gorącym uczynku]]/Tabela1[[#This Row],[Interwencje]])*1000</f>
        <v>30.783973168832723</v>
      </c>
      <c r="H4">
        <v>16697</v>
      </c>
      <c r="I4">
        <v>514</v>
      </c>
      <c r="J4">
        <v>251</v>
      </c>
      <c r="K4">
        <v>246</v>
      </c>
      <c r="L4">
        <v>56</v>
      </c>
      <c r="M4">
        <v>6</v>
      </c>
      <c r="N4">
        <v>58</v>
      </c>
    </row>
    <row r="5" spans="1:14" x14ac:dyDescent="0.3">
      <c r="A5" s="1">
        <v>45996</v>
      </c>
      <c r="B5" s="1" t="str">
        <f>TEXT(Tabela1[[#This Row],[Data]],"mmmm")</f>
        <v>grudzień</v>
      </c>
      <c r="C5" s="1" t="str">
        <f>TEXT(Tabela1[[#This Row],[Data]],"dddd")</f>
        <v>piątek</v>
      </c>
      <c r="D5">
        <f>WEEKNUM(Tabela1[[#This Row],[Data]],2)</f>
        <v>49</v>
      </c>
      <c r="E5" t="str">
        <f>IF(WEEKDAY(Tabela1[[#This Row],[Data]],2)&gt;5,"TAK","NIE")</f>
        <v>NIE</v>
      </c>
      <c r="F5" s="2">
        <f>IF(Tabela1[[#This Row],[Wypadki drogowe]]=0,0,Tabela1[[#This Row],[Zabici w wypadkach]]/Tabela1[[#This Row],[Wypadki drogowe]])</f>
        <v>3.7499999999999999E-2</v>
      </c>
      <c r="G5" s="40">
        <f>(Tabela1[[#This Row],[Zatrzymani na gorącym uczynku]]/Tabela1[[#This Row],[Interwencje]])*1000</f>
        <v>26.219581857648805</v>
      </c>
      <c r="H5">
        <v>17506</v>
      </c>
      <c r="I5">
        <v>459</v>
      </c>
      <c r="J5">
        <v>383</v>
      </c>
      <c r="K5">
        <v>189</v>
      </c>
      <c r="L5">
        <v>80</v>
      </c>
      <c r="M5">
        <v>3</v>
      </c>
      <c r="N5">
        <v>86</v>
      </c>
    </row>
    <row r="6" spans="1:14" x14ac:dyDescent="0.3">
      <c r="A6" s="1">
        <v>45995</v>
      </c>
      <c r="B6" s="1" t="str">
        <f>TEXT(Tabela1[[#This Row],[Data]],"mmmm")</f>
        <v>grudzień</v>
      </c>
      <c r="C6" s="1" t="str">
        <f>TEXT(Tabela1[[#This Row],[Data]],"dddd")</f>
        <v>czwartek</v>
      </c>
      <c r="D6">
        <f>WEEKNUM(Tabela1[[#This Row],[Data]],2)</f>
        <v>49</v>
      </c>
      <c r="E6" t="str">
        <f>IF(WEEKDAY(Tabela1[[#This Row],[Data]],2)&gt;5,"TAK","NIE")</f>
        <v>NIE</v>
      </c>
      <c r="F6" s="2">
        <f>IF(Tabela1[[#This Row],[Wypadki drogowe]]=0,0,Tabela1[[#This Row],[Zabici w wypadkach]]/Tabela1[[#This Row],[Wypadki drogowe]])</f>
        <v>7.407407407407407E-2</v>
      </c>
      <c r="G6" s="40">
        <f>(Tabela1[[#This Row],[Zatrzymani na gorącym uczynku]]/Tabela1[[#This Row],[Interwencje]])*1000</f>
        <v>30.448515476942514</v>
      </c>
      <c r="H6">
        <v>15830</v>
      </c>
      <c r="I6">
        <v>482</v>
      </c>
      <c r="J6">
        <v>391</v>
      </c>
      <c r="K6">
        <v>184</v>
      </c>
      <c r="L6">
        <v>54</v>
      </c>
      <c r="M6">
        <v>4</v>
      </c>
      <c r="N6">
        <v>65</v>
      </c>
    </row>
    <row r="7" spans="1:14" x14ac:dyDescent="0.3">
      <c r="A7" s="1">
        <v>45994</v>
      </c>
      <c r="B7" s="1" t="str">
        <f>TEXT(Tabela1[[#This Row],[Data]],"mmmm")</f>
        <v>grudzień</v>
      </c>
      <c r="C7" s="1" t="str">
        <f>TEXT(Tabela1[[#This Row],[Data]],"dddd")</f>
        <v>środa</v>
      </c>
      <c r="D7">
        <f>WEEKNUM(Tabela1[[#This Row],[Data]],2)</f>
        <v>49</v>
      </c>
      <c r="E7" t="str">
        <f>IF(WEEKDAY(Tabela1[[#This Row],[Data]],2)&gt;5,"TAK","NIE")</f>
        <v>NIE</v>
      </c>
      <c r="F7" s="2">
        <f>IF(Tabela1[[#This Row],[Wypadki drogowe]]=0,0,Tabela1[[#This Row],[Zabici w wypadkach]]/Tabela1[[#This Row],[Wypadki drogowe]])</f>
        <v>3.9215686274509803E-2</v>
      </c>
      <c r="G7" s="40">
        <f>(Tabela1[[#This Row],[Zatrzymani na gorącym uczynku]]/Tabela1[[#This Row],[Interwencje]])*1000</f>
        <v>27.169763298549253</v>
      </c>
      <c r="H7">
        <v>15716</v>
      </c>
      <c r="I7">
        <v>427</v>
      </c>
      <c r="J7">
        <v>456</v>
      </c>
      <c r="K7">
        <v>141</v>
      </c>
      <c r="L7">
        <v>51</v>
      </c>
      <c r="M7">
        <v>2</v>
      </c>
      <c r="N7">
        <v>58</v>
      </c>
    </row>
    <row r="8" spans="1:14" x14ac:dyDescent="0.3">
      <c r="A8" s="1">
        <v>45993</v>
      </c>
      <c r="B8" s="1" t="str">
        <f>TEXT(Tabela1[[#This Row],[Data]],"mmmm")</f>
        <v>grudzień</v>
      </c>
      <c r="C8" s="1" t="str">
        <f>TEXT(Tabela1[[#This Row],[Data]],"dddd")</f>
        <v>wtorek</v>
      </c>
      <c r="D8">
        <f>WEEKNUM(Tabela1[[#This Row],[Data]],2)</f>
        <v>49</v>
      </c>
      <c r="E8" t="str">
        <f>IF(WEEKDAY(Tabela1[[#This Row],[Data]],2)&gt;5,"TAK","NIE")</f>
        <v>NIE</v>
      </c>
      <c r="F8" s="2">
        <f>IF(Tabela1[[#This Row],[Wypadki drogowe]]=0,0,Tabela1[[#This Row],[Zabici w wypadkach]]/Tabela1[[#This Row],[Wypadki drogowe]])</f>
        <v>8.1081081081081086E-2</v>
      </c>
      <c r="G8" s="40">
        <f>(Tabela1[[#This Row],[Zatrzymani na gorącym uczynku]]/Tabela1[[#This Row],[Interwencje]])*1000</f>
        <v>28.905488795063331</v>
      </c>
      <c r="H8">
        <v>15395</v>
      </c>
      <c r="I8">
        <v>445</v>
      </c>
      <c r="J8">
        <v>410</v>
      </c>
      <c r="K8">
        <v>131</v>
      </c>
      <c r="L8">
        <v>37</v>
      </c>
      <c r="M8">
        <v>3</v>
      </c>
      <c r="N8">
        <v>42</v>
      </c>
    </row>
    <row r="9" spans="1:14" x14ac:dyDescent="0.3">
      <c r="A9" s="1">
        <v>45992</v>
      </c>
      <c r="B9" s="1" t="str">
        <f>TEXT(Tabela1[[#This Row],[Data]],"mmmm")</f>
        <v>grudzień</v>
      </c>
      <c r="C9" s="1" t="str">
        <f>TEXT(Tabela1[[#This Row],[Data]],"dddd")</f>
        <v>poniedziałek</v>
      </c>
      <c r="D9">
        <f>WEEKNUM(Tabela1[[#This Row],[Data]],2)</f>
        <v>49</v>
      </c>
      <c r="E9" t="str">
        <f>IF(WEEKDAY(Tabela1[[#This Row],[Data]],2)&gt;5,"TAK","NIE")</f>
        <v>NIE</v>
      </c>
      <c r="F9" s="2">
        <f>IF(Tabela1[[#This Row],[Wypadki drogowe]]=0,0,Tabela1[[#This Row],[Zabici w wypadkach]]/Tabela1[[#This Row],[Wypadki drogowe]])</f>
        <v>9.0909090909090912E-2</v>
      </c>
      <c r="G9" s="40">
        <f>(Tabela1[[#This Row],[Zatrzymani na gorącym uczynku]]/Tabela1[[#This Row],[Interwencje]])*1000</f>
        <v>44.41994682575708</v>
      </c>
      <c r="H9">
        <v>15421</v>
      </c>
      <c r="I9">
        <v>685</v>
      </c>
      <c r="J9">
        <v>368</v>
      </c>
      <c r="K9">
        <v>434</v>
      </c>
      <c r="L9">
        <v>55</v>
      </c>
      <c r="M9">
        <v>5</v>
      </c>
      <c r="N9">
        <v>65</v>
      </c>
    </row>
    <row r="10" spans="1:14" x14ac:dyDescent="0.3">
      <c r="A10" s="1">
        <v>45991</v>
      </c>
      <c r="B10" s="1" t="str">
        <f>TEXT(Tabela1[[#This Row],[Data]],"mmmm")</f>
        <v>listopad</v>
      </c>
      <c r="C10" s="1" t="str">
        <f>TEXT(Tabela1[[#This Row],[Data]],"dddd")</f>
        <v>niedziela</v>
      </c>
      <c r="D10">
        <f>WEEKNUM(Tabela1[[#This Row],[Data]],2)</f>
        <v>48</v>
      </c>
      <c r="E10" t="str">
        <f>IF(WEEKDAY(Tabela1[[#This Row],[Data]],2)&gt;5,"TAK","NIE")</f>
        <v>TAK</v>
      </c>
      <c r="F10" s="2">
        <f>IF(Tabela1[[#This Row],[Wypadki drogowe]]=0,0,Tabela1[[#This Row],[Zabici w wypadkach]]/Tabela1[[#This Row],[Wypadki drogowe]])</f>
        <v>3.2258064516129031E-2</v>
      </c>
      <c r="G10" s="40">
        <f>(Tabela1[[#This Row],[Zatrzymani na gorącym uczynku]]/Tabela1[[#This Row],[Interwencje]])*1000</f>
        <v>38.693723179867625</v>
      </c>
      <c r="H10">
        <v>13749</v>
      </c>
      <c r="I10">
        <v>532</v>
      </c>
      <c r="J10">
        <v>195</v>
      </c>
      <c r="K10">
        <v>281</v>
      </c>
      <c r="L10">
        <v>31</v>
      </c>
      <c r="M10">
        <v>1</v>
      </c>
      <c r="N10">
        <v>43</v>
      </c>
    </row>
    <row r="11" spans="1:14" x14ac:dyDescent="0.3">
      <c r="A11" s="1">
        <v>45990</v>
      </c>
      <c r="B11" s="1" t="str">
        <f>TEXT(Tabela1[[#This Row],[Data]],"mmmm")</f>
        <v>listopad</v>
      </c>
      <c r="C11" s="1" t="str">
        <f>TEXT(Tabela1[[#This Row],[Data]],"dddd")</f>
        <v>sobota</v>
      </c>
      <c r="D11">
        <f>WEEKNUM(Tabela1[[#This Row],[Data]],2)</f>
        <v>48</v>
      </c>
      <c r="E11" t="str">
        <f>IF(WEEKDAY(Tabela1[[#This Row],[Data]],2)&gt;5,"TAK","NIE")</f>
        <v>TAK</v>
      </c>
      <c r="F11" s="2">
        <f>IF(Tabela1[[#This Row],[Wypadki drogowe]]=0,0,Tabela1[[#This Row],[Zabici w wypadkach]]/Tabela1[[#This Row],[Wypadki drogowe]])</f>
        <v>0.11764705882352941</v>
      </c>
      <c r="G11" s="40">
        <f>(Tabela1[[#This Row],[Zatrzymani na gorącym uczynku]]/Tabela1[[#This Row],[Interwencje]])*1000</f>
        <v>34.246575342465754</v>
      </c>
      <c r="H11">
        <v>15768</v>
      </c>
      <c r="I11">
        <v>540</v>
      </c>
      <c r="J11">
        <v>226</v>
      </c>
      <c r="K11">
        <v>281</v>
      </c>
      <c r="L11">
        <v>34</v>
      </c>
      <c r="M11">
        <v>4</v>
      </c>
      <c r="N11">
        <v>44</v>
      </c>
    </row>
    <row r="12" spans="1:14" x14ac:dyDescent="0.3">
      <c r="A12" s="1">
        <v>45989</v>
      </c>
      <c r="B12" s="1" t="str">
        <f>TEXT(Tabela1[[#This Row],[Data]],"mmmm")</f>
        <v>listopad</v>
      </c>
      <c r="C12" s="1" t="str">
        <f>TEXT(Tabela1[[#This Row],[Data]],"dddd")</f>
        <v>piątek</v>
      </c>
      <c r="D12">
        <f>WEEKNUM(Tabela1[[#This Row],[Data]],2)</f>
        <v>48</v>
      </c>
      <c r="E12" t="str">
        <f>IF(WEEKDAY(Tabela1[[#This Row],[Data]],2)&gt;5,"TAK","NIE")</f>
        <v>NIE</v>
      </c>
      <c r="F12" s="2">
        <f>IF(Tabela1[[#This Row],[Wypadki drogowe]]=0,0,Tabela1[[#This Row],[Zabici w wypadkach]]/Tabela1[[#This Row],[Wypadki drogowe]])</f>
        <v>4.1666666666666664E-2</v>
      </c>
      <c r="G12" s="40">
        <f>(Tabela1[[#This Row],[Zatrzymani na gorącym uczynku]]/Tabela1[[#This Row],[Interwencje]])*1000</f>
        <v>24.474049068659955</v>
      </c>
      <c r="H12">
        <v>16589</v>
      </c>
      <c r="I12">
        <v>406</v>
      </c>
      <c r="J12">
        <v>336</v>
      </c>
      <c r="K12">
        <v>149</v>
      </c>
      <c r="L12">
        <v>48</v>
      </c>
      <c r="M12">
        <v>2</v>
      </c>
      <c r="N12">
        <v>53</v>
      </c>
    </row>
    <row r="13" spans="1:14" x14ac:dyDescent="0.3">
      <c r="A13" s="1">
        <v>45988</v>
      </c>
      <c r="B13" s="1" t="str">
        <f>TEXT(Tabela1[[#This Row],[Data]],"mmmm")</f>
        <v>listopad</v>
      </c>
      <c r="C13" s="1" t="str">
        <f>TEXT(Tabela1[[#This Row],[Data]],"dddd")</f>
        <v>czwartek</v>
      </c>
      <c r="D13">
        <f>WEEKNUM(Tabela1[[#This Row],[Data]],2)</f>
        <v>48</v>
      </c>
      <c r="E13" t="str">
        <f>IF(WEEKDAY(Tabela1[[#This Row],[Data]],2)&gt;5,"TAK","NIE")</f>
        <v>NIE</v>
      </c>
      <c r="F13" s="2">
        <f>IF(Tabela1[[#This Row],[Wypadki drogowe]]=0,0,Tabela1[[#This Row],[Zabici w wypadkach]]/Tabela1[[#This Row],[Wypadki drogowe]])</f>
        <v>0.10416666666666667</v>
      </c>
      <c r="G13" s="40">
        <f>(Tabela1[[#This Row],[Zatrzymani na gorącym uczynku]]/Tabela1[[#This Row],[Interwencje]])*1000</f>
        <v>25.664754148929607</v>
      </c>
      <c r="H13">
        <v>16209</v>
      </c>
      <c r="I13">
        <v>416</v>
      </c>
      <c r="J13">
        <v>389</v>
      </c>
      <c r="K13">
        <v>138</v>
      </c>
      <c r="L13">
        <v>48</v>
      </c>
      <c r="M13">
        <v>5</v>
      </c>
      <c r="N13">
        <v>50</v>
      </c>
    </row>
    <row r="14" spans="1:14" x14ac:dyDescent="0.3">
      <c r="A14" s="1">
        <v>45987</v>
      </c>
      <c r="B14" s="1" t="str">
        <f>TEXT(Tabela1[[#This Row],[Data]],"mmmm")</f>
        <v>listopad</v>
      </c>
      <c r="C14" s="1" t="str">
        <f>TEXT(Tabela1[[#This Row],[Data]],"dddd")</f>
        <v>środa</v>
      </c>
      <c r="D14">
        <f>WEEKNUM(Tabela1[[#This Row],[Data]],2)</f>
        <v>48</v>
      </c>
      <c r="E14" t="str">
        <f>IF(WEEKDAY(Tabela1[[#This Row],[Data]],2)&gt;5,"TAK","NIE")</f>
        <v>NIE</v>
      </c>
      <c r="F14" s="2">
        <f>IF(Tabela1[[#This Row],[Wypadki drogowe]]=0,0,Tabela1[[#This Row],[Zabici w wypadkach]]/Tabela1[[#This Row],[Wypadki drogowe]])</f>
        <v>1.6129032258064516E-2</v>
      </c>
      <c r="G14" s="40">
        <f>(Tabela1[[#This Row],[Zatrzymani na gorącym uczynku]]/Tabela1[[#This Row],[Interwencje]])*1000</f>
        <v>26.532715095311694</v>
      </c>
      <c r="H14">
        <v>15528</v>
      </c>
      <c r="I14">
        <v>412</v>
      </c>
      <c r="J14">
        <v>375</v>
      </c>
      <c r="K14">
        <v>122</v>
      </c>
      <c r="L14">
        <v>62</v>
      </c>
      <c r="M14">
        <v>1</v>
      </c>
      <c r="N14">
        <v>73</v>
      </c>
    </row>
    <row r="15" spans="1:14" x14ac:dyDescent="0.3">
      <c r="A15" s="1">
        <v>45986</v>
      </c>
      <c r="B15" s="1" t="str">
        <f>TEXT(Tabela1[[#This Row],[Data]],"mmmm")</f>
        <v>listopad</v>
      </c>
      <c r="C15" s="1" t="str">
        <f>TEXT(Tabela1[[#This Row],[Data]],"dddd")</f>
        <v>wtorek</v>
      </c>
      <c r="D15">
        <f>WEEKNUM(Tabela1[[#This Row],[Data]],2)</f>
        <v>48</v>
      </c>
      <c r="E15" t="str">
        <f>IF(WEEKDAY(Tabela1[[#This Row],[Data]],2)&gt;5,"TAK","NIE")</f>
        <v>NIE</v>
      </c>
      <c r="F15" s="2">
        <f>IF(Tabela1[[#This Row],[Wypadki drogowe]]=0,0,Tabela1[[#This Row],[Zabici w wypadkach]]/Tabela1[[#This Row],[Wypadki drogowe]])</f>
        <v>0.15909090909090909</v>
      </c>
      <c r="G15" s="40">
        <f>(Tabela1[[#This Row],[Zatrzymani na gorącym uczynku]]/Tabela1[[#This Row],[Interwencje]])*1000</f>
        <v>26.867030965391621</v>
      </c>
      <c r="H15">
        <v>15372</v>
      </c>
      <c r="I15">
        <v>413</v>
      </c>
      <c r="J15">
        <v>339</v>
      </c>
      <c r="K15">
        <v>139</v>
      </c>
      <c r="L15">
        <v>44</v>
      </c>
      <c r="M15">
        <v>7</v>
      </c>
      <c r="N15">
        <v>58</v>
      </c>
    </row>
    <row r="16" spans="1:14" x14ac:dyDescent="0.3">
      <c r="A16" s="1">
        <v>45985</v>
      </c>
      <c r="B16" s="1" t="str">
        <f>TEXT(Tabela1[[#This Row],[Data]],"mmmm")</f>
        <v>listopad</v>
      </c>
      <c r="C16" s="1" t="str">
        <f>TEXT(Tabela1[[#This Row],[Data]],"dddd")</f>
        <v>poniedziałek</v>
      </c>
      <c r="D16">
        <f>WEEKNUM(Tabela1[[#This Row],[Data]],2)</f>
        <v>48</v>
      </c>
      <c r="E16" t="str">
        <f>IF(WEEKDAY(Tabela1[[#This Row],[Data]],2)&gt;5,"TAK","NIE")</f>
        <v>NIE</v>
      </c>
      <c r="F16" s="2">
        <f>IF(Tabela1[[#This Row],[Wypadki drogowe]]=0,0,Tabela1[[#This Row],[Zabici w wypadkach]]/Tabela1[[#This Row],[Wypadki drogowe]])</f>
        <v>0.1111111111111111</v>
      </c>
      <c r="G16" s="40">
        <f>(Tabela1[[#This Row],[Zatrzymani na gorącym uczynku]]/Tabela1[[#This Row],[Interwencje]])*1000</f>
        <v>29.710192983619603</v>
      </c>
      <c r="H16">
        <v>15079</v>
      </c>
      <c r="I16">
        <v>448</v>
      </c>
      <c r="J16">
        <v>291</v>
      </c>
      <c r="K16">
        <v>202</v>
      </c>
      <c r="L16">
        <v>45</v>
      </c>
      <c r="M16">
        <v>5</v>
      </c>
      <c r="N16">
        <v>55</v>
      </c>
    </row>
    <row r="17" spans="1:14" x14ac:dyDescent="0.3">
      <c r="A17" s="1">
        <v>45984</v>
      </c>
      <c r="B17" s="1" t="str">
        <f>TEXT(Tabela1[[#This Row],[Data]],"mmmm")</f>
        <v>listopad</v>
      </c>
      <c r="C17" s="1" t="str">
        <f>TEXT(Tabela1[[#This Row],[Data]],"dddd")</f>
        <v>niedziela</v>
      </c>
      <c r="D17">
        <f>WEEKNUM(Tabela1[[#This Row],[Data]],2)</f>
        <v>47</v>
      </c>
      <c r="E17" t="str">
        <f>IF(WEEKDAY(Tabela1[[#This Row],[Data]],2)&gt;5,"TAK","NIE")</f>
        <v>TAK</v>
      </c>
      <c r="F17" s="2">
        <f>IF(Tabela1[[#This Row],[Wypadki drogowe]]=0,0,Tabela1[[#This Row],[Zabici w wypadkach]]/Tabela1[[#This Row],[Wypadki drogowe]])</f>
        <v>7.1428571428571425E-2</v>
      </c>
      <c r="G17" s="40">
        <f>(Tabela1[[#This Row],[Zatrzymani na gorącym uczynku]]/Tabela1[[#This Row],[Interwencje]])*1000</f>
        <v>29.672747923617518</v>
      </c>
      <c r="H17">
        <v>14087</v>
      </c>
      <c r="I17">
        <v>418</v>
      </c>
      <c r="J17">
        <v>190</v>
      </c>
      <c r="K17">
        <v>224</v>
      </c>
      <c r="L17">
        <v>42</v>
      </c>
      <c r="M17">
        <v>3</v>
      </c>
      <c r="N17">
        <v>60</v>
      </c>
    </row>
    <row r="18" spans="1:14" x14ac:dyDescent="0.3">
      <c r="A18" s="1">
        <v>45983</v>
      </c>
      <c r="B18" s="1" t="str">
        <f>TEXT(Tabela1[[#This Row],[Data]],"mmmm")</f>
        <v>listopad</v>
      </c>
      <c r="C18" s="1" t="str">
        <f>TEXT(Tabela1[[#This Row],[Data]],"dddd")</f>
        <v>sobota</v>
      </c>
      <c r="D18">
        <f>WEEKNUM(Tabela1[[#This Row],[Data]],2)</f>
        <v>47</v>
      </c>
      <c r="E18" t="str">
        <f>IF(WEEKDAY(Tabela1[[#This Row],[Data]],2)&gt;5,"TAK","NIE")</f>
        <v>TAK</v>
      </c>
      <c r="F18" s="2">
        <f>IF(Tabela1[[#This Row],[Wypadki drogowe]]=0,0,Tabela1[[#This Row],[Zabici w wypadkach]]/Tabela1[[#This Row],[Wypadki drogowe]])</f>
        <v>5.8823529411764705E-2</v>
      </c>
      <c r="G18" s="40">
        <f>(Tabela1[[#This Row],[Zatrzymani na gorącym uczynku]]/Tabela1[[#This Row],[Interwencje]])*1000</f>
        <v>28.295544826743264</v>
      </c>
      <c r="H18">
        <v>16363</v>
      </c>
      <c r="I18">
        <v>463</v>
      </c>
      <c r="J18">
        <v>189</v>
      </c>
      <c r="K18">
        <v>224</v>
      </c>
      <c r="L18">
        <v>34</v>
      </c>
      <c r="M18">
        <v>2</v>
      </c>
      <c r="N18">
        <v>42</v>
      </c>
    </row>
    <row r="19" spans="1:14" x14ac:dyDescent="0.3">
      <c r="A19" s="1">
        <v>45982</v>
      </c>
      <c r="B19" s="1" t="str">
        <f>TEXT(Tabela1[[#This Row],[Data]],"mmmm")</f>
        <v>listopad</v>
      </c>
      <c r="C19" s="1" t="str">
        <f>TEXT(Tabela1[[#This Row],[Data]],"dddd")</f>
        <v>piątek</v>
      </c>
      <c r="D19">
        <f>WEEKNUM(Tabela1[[#This Row],[Data]],2)</f>
        <v>47</v>
      </c>
      <c r="E19" t="str">
        <f>IF(WEEKDAY(Tabela1[[#This Row],[Data]],2)&gt;5,"TAK","NIE")</f>
        <v>NIE</v>
      </c>
      <c r="F19" s="2">
        <f>IF(Tabela1[[#This Row],[Wypadki drogowe]]=0,0,Tabela1[[#This Row],[Zabici w wypadkach]]/Tabela1[[#This Row],[Wypadki drogowe]])</f>
        <v>2.1739130434782608E-2</v>
      </c>
      <c r="G19" s="40">
        <f>(Tabela1[[#This Row],[Zatrzymani na gorącym uczynku]]/Tabela1[[#This Row],[Interwencje]])*1000</f>
        <v>24.5930644019816</v>
      </c>
      <c r="H19">
        <v>16956</v>
      </c>
      <c r="I19">
        <v>417</v>
      </c>
      <c r="J19">
        <v>329</v>
      </c>
      <c r="K19">
        <v>188</v>
      </c>
      <c r="L19">
        <v>46</v>
      </c>
      <c r="M19">
        <v>1</v>
      </c>
      <c r="N19">
        <v>48</v>
      </c>
    </row>
    <row r="20" spans="1:14" x14ac:dyDescent="0.3">
      <c r="A20" s="1">
        <v>45981</v>
      </c>
      <c r="B20" s="1" t="str">
        <f>TEXT(Tabela1[[#This Row],[Data]],"mmmm")</f>
        <v>listopad</v>
      </c>
      <c r="C20" s="1" t="str">
        <f>TEXT(Tabela1[[#This Row],[Data]],"dddd")</f>
        <v>czwartek</v>
      </c>
      <c r="D20">
        <f>WEEKNUM(Tabela1[[#This Row],[Data]],2)</f>
        <v>47</v>
      </c>
      <c r="E20" t="str">
        <f>IF(WEEKDAY(Tabela1[[#This Row],[Data]],2)&gt;5,"TAK","NIE")</f>
        <v>NIE</v>
      </c>
      <c r="F20" s="2">
        <f>IF(Tabela1[[#This Row],[Wypadki drogowe]]=0,0,Tabela1[[#This Row],[Zabici w wypadkach]]/Tabela1[[#This Row],[Wypadki drogowe]])</f>
        <v>5.6603773584905662E-2</v>
      </c>
      <c r="G20" s="40">
        <f>(Tabela1[[#This Row],[Zatrzymani na gorącym uczynku]]/Tabela1[[#This Row],[Interwencje]])*1000</f>
        <v>30.40230638186345</v>
      </c>
      <c r="H20">
        <v>15262</v>
      </c>
      <c r="I20">
        <v>464</v>
      </c>
      <c r="J20">
        <v>346</v>
      </c>
      <c r="K20">
        <v>167</v>
      </c>
      <c r="L20">
        <v>53</v>
      </c>
      <c r="M20">
        <v>3</v>
      </c>
      <c r="N20">
        <v>65</v>
      </c>
    </row>
    <row r="21" spans="1:14" x14ac:dyDescent="0.3">
      <c r="A21" s="1">
        <v>45980</v>
      </c>
      <c r="B21" s="1" t="str">
        <f>TEXT(Tabela1[[#This Row],[Data]],"mmmm")</f>
        <v>listopad</v>
      </c>
      <c r="C21" s="1" t="str">
        <f>TEXT(Tabela1[[#This Row],[Data]],"dddd")</f>
        <v>środa</v>
      </c>
      <c r="D21">
        <f>WEEKNUM(Tabela1[[#This Row],[Data]],2)</f>
        <v>47</v>
      </c>
      <c r="E21" t="str">
        <f>IF(WEEKDAY(Tabela1[[#This Row],[Data]],2)&gt;5,"TAK","NIE")</f>
        <v>NIE</v>
      </c>
      <c r="F21" s="2">
        <f>IF(Tabela1[[#This Row],[Wypadki drogowe]]=0,0,Tabela1[[#This Row],[Zabici w wypadkach]]/Tabela1[[#This Row],[Wypadki drogowe]])</f>
        <v>4.1666666666666664E-2</v>
      </c>
      <c r="G21" s="40">
        <f>(Tabela1[[#This Row],[Zatrzymani na gorącym uczynku]]/Tabela1[[#This Row],[Interwencje]])*1000</f>
        <v>29.947916666666668</v>
      </c>
      <c r="H21">
        <v>15360</v>
      </c>
      <c r="I21">
        <v>460</v>
      </c>
      <c r="J21">
        <v>324</v>
      </c>
      <c r="K21">
        <v>140</v>
      </c>
      <c r="L21">
        <v>48</v>
      </c>
      <c r="M21">
        <v>2</v>
      </c>
      <c r="N21">
        <v>54</v>
      </c>
    </row>
    <row r="22" spans="1:14" x14ac:dyDescent="0.3">
      <c r="A22" s="1">
        <v>45979</v>
      </c>
      <c r="B22" s="1" t="str">
        <f>TEXT(Tabela1[[#This Row],[Data]],"mmmm")</f>
        <v>listopad</v>
      </c>
      <c r="C22" s="1" t="str">
        <f>TEXT(Tabela1[[#This Row],[Data]],"dddd")</f>
        <v>wtorek</v>
      </c>
      <c r="D22">
        <f>WEEKNUM(Tabela1[[#This Row],[Data]],2)</f>
        <v>47</v>
      </c>
      <c r="E22" t="str">
        <f>IF(WEEKDAY(Tabela1[[#This Row],[Data]],2)&gt;5,"TAK","NIE")</f>
        <v>NIE</v>
      </c>
      <c r="F22" s="2">
        <f>IF(Tabela1[[#This Row],[Wypadki drogowe]]=0,0,Tabela1[[#This Row],[Zabici w wypadkach]]/Tabela1[[#This Row],[Wypadki drogowe]])</f>
        <v>4.9180327868852458E-2</v>
      </c>
      <c r="G22" s="40">
        <f>(Tabela1[[#This Row],[Zatrzymani na gorącym uczynku]]/Tabela1[[#This Row],[Interwencje]])*1000</f>
        <v>31.579620277440387</v>
      </c>
      <c r="H22">
        <v>15643</v>
      </c>
      <c r="I22">
        <v>494</v>
      </c>
      <c r="J22">
        <v>921</v>
      </c>
      <c r="K22">
        <v>179</v>
      </c>
      <c r="L22">
        <v>61</v>
      </c>
      <c r="M22">
        <v>3</v>
      </c>
      <c r="N22">
        <v>80</v>
      </c>
    </row>
    <row r="23" spans="1:14" x14ac:dyDescent="0.3">
      <c r="A23" s="1">
        <v>45978</v>
      </c>
      <c r="B23" s="1" t="str">
        <f>TEXT(Tabela1[[#This Row],[Data]],"mmmm")</f>
        <v>listopad</v>
      </c>
      <c r="C23" s="1" t="str">
        <f>TEXT(Tabela1[[#This Row],[Data]],"dddd")</f>
        <v>poniedziałek</v>
      </c>
      <c r="D23">
        <f>WEEKNUM(Tabela1[[#This Row],[Data]],2)</f>
        <v>47</v>
      </c>
      <c r="E23" t="str">
        <f>IF(WEEKDAY(Tabela1[[#This Row],[Data]],2)&gt;5,"TAK","NIE")</f>
        <v>NIE</v>
      </c>
      <c r="F23" s="2">
        <f>IF(Tabela1[[#This Row],[Wypadki drogowe]]=0,0,Tabela1[[#This Row],[Zabici w wypadkach]]/Tabela1[[#This Row],[Wypadki drogowe]])</f>
        <v>7.2289156626506021E-2</v>
      </c>
      <c r="G23" s="40">
        <f>(Tabela1[[#This Row],[Zatrzymani na gorącym uczynku]]/Tabela1[[#This Row],[Interwencje]])*1000</f>
        <v>31.287302883709241</v>
      </c>
      <c r="H23">
        <v>15917</v>
      </c>
      <c r="I23">
        <v>498</v>
      </c>
      <c r="J23">
        <v>1042</v>
      </c>
      <c r="K23">
        <v>238</v>
      </c>
      <c r="L23">
        <v>83</v>
      </c>
      <c r="M23">
        <v>6</v>
      </c>
      <c r="N23">
        <v>92</v>
      </c>
    </row>
    <row r="24" spans="1:14" x14ac:dyDescent="0.3">
      <c r="A24" s="1">
        <v>45977</v>
      </c>
      <c r="B24" s="1" t="str">
        <f>TEXT(Tabela1[[#This Row],[Data]],"mmmm")</f>
        <v>listopad</v>
      </c>
      <c r="C24" s="1" t="str">
        <f>TEXT(Tabela1[[#This Row],[Data]],"dddd")</f>
        <v>niedziela</v>
      </c>
      <c r="D24">
        <f>WEEKNUM(Tabela1[[#This Row],[Data]],2)</f>
        <v>46</v>
      </c>
      <c r="E24" t="str">
        <f>IF(WEEKDAY(Tabela1[[#This Row],[Data]],2)&gt;5,"TAK","NIE")</f>
        <v>TAK</v>
      </c>
      <c r="F24" s="2">
        <f>IF(Tabela1[[#This Row],[Wypadki drogowe]]=0,0,Tabela1[[#This Row],[Zabici w wypadkach]]/Tabela1[[#This Row],[Wypadki drogowe]])</f>
        <v>0.2</v>
      </c>
      <c r="G24" s="40">
        <f>(Tabela1[[#This Row],[Zatrzymani na gorącym uczynku]]/Tabela1[[#This Row],[Interwencje]])*1000</f>
        <v>37.866666666666667</v>
      </c>
      <c r="H24">
        <v>13125</v>
      </c>
      <c r="I24">
        <v>497</v>
      </c>
      <c r="J24">
        <v>214</v>
      </c>
      <c r="K24">
        <v>239</v>
      </c>
      <c r="L24">
        <v>40</v>
      </c>
      <c r="M24">
        <v>8</v>
      </c>
      <c r="N24">
        <v>48</v>
      </c>
    </row>
    <row r="25" spans="1:14" x14ac:dyDescent="0.3">
      <c r="A25" s="1">
        <v>45976</v>
      </c>
      <c r="B25" s="1" t="str">
        <f>TEXT(Tabela1[[#This Row],[Data]],"mmmm")</f>
        <v>listopad</v>
      </c>
      <c r="C25" s="1" t="str">
        <f>TEXT(Tabela1[[#This Row],[Data]],"dddd")</f>
        <v>sobota</v>
      </c>
      <c r="D25">
        <f>WEEKNUM(Tabela1[[#This Row],[Data]],2)</f>
        <v>46</v>
      </c>
      <c r="E25" t="str">
        <f>IF(WEEKDAY(Tabela1[[#This Row],[Data]],2)&gt;5,"TAK","NIE")</f>
        <v>TAK</v>
      </c>
      <c r="F25" s="2">
        <f>IF(Tabela1[[#This Row],[Wypadki drogowe]]=0,0,Tabela1[[#This Row],[Zabici w wypadkach]]/Tabela1[[#This Row],[Wypadki drogowe]])</f>
        <v>0.05</v>
      </c>
      <c r="G25" s="40">
        <f>(Tabela1[[#This Row],[Zatrzymani na gorącym uczynku]]/Tabela1[[#This Row],[Interwencje]])*1000</f>
        <v>32.899628252788105</v>
      </c>
      <c r="H25">
        <v>16140</v>
      </c>
      <c r="I25">
        <v>531</v>
      </c>
      <c r="J25">
        <v>215</v>
      </c>
      <c r="K25">
        <v>262</v>
      </c>
      <c r="L25">
        <v>60</v>
      </c>
      <c r="M25">
        <v>3</v>
      </c>
      <c r="N25">
        <v>79</v>
      </c>
    </row>
    <row r="26" spans="1:14" x14ac:dyDescent="0.3">
      <c r="A26" s="1">
        <v>45975</v>
      </c>
      <c r="B26" s="1" t="str">
        <f>TEXT(Tabela1[[#This Row],[Data]],"mmmm")</f>
        <v>listopad</v>
      </c>
      <c r="C26" s="1" t="str">
        <f>TEXT(Tabela1[[#This Row],[Data]],"dddd")</f>
        <v>piątek</v>
      </c>
      <c r="D26">
        <f>WEEKNUM(Tabela1[[#This Row],[Data]],2)</f>
        <v>46</v>
      </c>
      <c r="E26" t="str">
        <f>IF(WEEKDAY(Tabela1[[#This Row],[Data]],2)&gt;5,"TAK","NIE")</f>
        <v>NIE</v>
      </c>
      <c r="F26" s="2">
        <f>IF(Tabela1[[#This Row],[Wypadki drogowe]]=0,0,Tabela1[[#This Row],[Zabici w wypadkach]]/Tabela1[[#This Row],[Wypadki drogowe]])</f>
        <v>1.6393442622950821E-2</v>
      </c>
      <c r="G26" s="40">
        <f>(Tabela1[[#This Row],[Zatrzymani na gorącym uczynku]]/Tabela1[[#This Row],[Interwencje]])*1000</f>
        <v>29.508786661068797</v>
      </c>
      <c r="H26">
        <v>16673</v>
      </c>
      <c r="I26">
        <v>492</v>
      </c>
      <c r="J26">
        <v>329</v>
      </c>
      <c r="K26">
        <v>199</v>
      </c>
      <c r="L26">
        <v>61</v>
      </c>
      <c r="M26">
        <v>1</v>
      </c>
      <c r="N26">
        <v>74</v>
      </c>
    </row>
    <row r="27" spans="1:14" x14ac:dyDescent="0.3">
      <c r="A27" s="1">
        <v>45974</v>
      </c>
      <c r="B27" s="1" t="str">
        <f>TEXT(Tabela1[[#This Row],[Data]],"mmmm")</f>
        <v>listopad</v>
      </c>
      <c r="C27" s="1" t="str">
        <f>TEXT(Tabela1[[#This Row],[Data]],"dddd")</f>
        <v>czwartek</v>
      </c>
      <c r="D27">
        <f>WEEKNUM(Tabela1[[#This Row],[Data]],2)</f>
        <v>46</v>
      </c>
      <c r="E27" t="str">
        <f>IF(WEEKDAY(Tabela1[[#This Row],[Data]],2)&gt;5,"TAK","NIE")</f>
        <v>NIE</v>
      </c>
      <c r="F27" s="2">
        <f>IF(Tabela1[[#This Row],[Wypadki drogowe]]=0,0,Tabela1[[#This Row],[Zabici w wypadkach]]/Tabela1[[#This Row],[Wypadki drogowe]])</f>
        <v>0.10416666666666667</v>
      </c>
      <c r="G27" s="40">
        <f>(Tabela1[[#This Row],[Zatrzymani na gorącym uczynku]]/Tabela1[[#This Row],[Interwencje]])*1000</f>
        <v>33.363507047717576</v>
      </c>
      <c r="H27">
        <v>15466</v>
      </c>
      <c r="I27">
        <v>516</v>
      </c>
      <c r="J27">
        <v>359</v>
      </c>
      <c r="K27">
        <v>230</v>
      </c>
      <c r="L27">
        <v>48</v>
      </c>
      <c r="M27">
        <v>5</v>
      </c>
      <c r="N27">
        <v>56</v>
      </c>
    </row>
    <row r="28" spans="1:14" x14ac:dyDescent="0.3">
      <c r="A28" s="1">
        <v>45973</v>
      </c>
      <c r="B28" s="1" t="str">
        <f>TEXT(Tabela1[[#This Row],[Data]],"mmmm")</f>
        <v>listopad</v>
      </c>
      <c r="C28" s="1" t="str">
        <f>TEXT(Tabela1[[#This Row],[Data]],"dddd")</f>
        <v>środa</v>
      </c>
      <c r="D28">
        <f>WEEKNUM(Tabela1[[#This Row],[Data]],2)</f>
        <v>46</v>
      </c>
      <c r="E28" t="str">
        <f>IF(WEEKDAY(Tabela1[[#This Row],[Data]],2)&gt;5,"TAK","NIE")</f>
        <v>NIE</v>
      </c>
      <c r="F28" s="2">
        <f>IF(Tabela1[[#This Row],[Wypadki drogowe]]=0,0,Tabela1[[#This Row],[Zabici w wypadkach]]/Tabela1[[#This Row],[Wypadki drogowe]])</f>
        <v>6.6666666666666666E-2</v>
      </c>
      <c r="G28" s="40">
        <f>(Tabela1[[#This Row],[Zatrzymani na gorącym uczynku]]/Tabela1[[#This Row],[Interwencje]])*1000</f>
        <v>40.193642907191538</v>
      </c>
      <c r="H28">
        <v>15699</v>
      </c>
      <c r="I28">
        <v>631</v>
      </c>
      <c r="J28">
        <v>312</v>
      </c>
      <c r="K28">
        <v>407</v>
      </c>
      <c r="L28">
        <v>45</v>
      </c>
      <c r="M28">
        <v>3</v>
      </c>
      <c r="N28">
        <v>53</v>
      </c>
    </row>
    <row r="29" spans="1:14" x14ac:dyDescent="0.3">
      <c r="A29" s="1">
        <v>45972</v>
      </c>
      <c r="B29" s="1" t="str">
        <f>TEXT(Tabela1[[#This Row],[Data]],"mmmm")</f>
        <v>listopad</v>
      </c>
      <c r="C29" s="1" t="str">
        <f>TEXT(Tabela1[[#This Row],[Data]],"dddd")</f>
        <v>wtorek</v>
      </c>
      <c r="D29">
        <f>WEEKNUM(Tabela1[[#This Row],[Data]],2)</f>
        <v>46</v>
      </c>
      <c r="E29" t="str">
        <f>IF(WEEKDAY(Tabela1[[#This Row],[Data]],2)&gt;5,"TAK","NIE")</f>
        <v>NIE</v>
      </c>
      <c r="F29" s="2">
        <f>IF(Tabela1[[#This Row],[Wypadki drogowe]]=0,0,Tabela1[[#This Row],[Zabici w wypadkach]]/Tabela1[[#This Row],[Wypadki drogowe]])</f>
        <v>5.2631578947368418E-2</v>
      </c>
      <c r="G29" s="40">
        <f>(Tabela1[[#This Row],[Zatrzymani na gorącym uczynku]]/Tabela1[[#This Row],[Interwencje]])*1000</f>
        <v>44.688418122777179</v>
      </c>
      <c r="H29">
        <v>12934</v>
      </c>
      <c r="I29">
        <v>578</v>
      </c>
      <c r="J29">
        <v>274</v>
      </c>
      <c r="K29">
        <v>319</v>
      </c>
      <c r="L29">
        <v>38</v>
      </c>
      <c r="M29">
        <v>2</v>
      </c>
      <c r="N29">
        <v>50</v>
      </c>
    </row>
    <row r="30" spans="1:14" x14ac:dyDescent="0.3">
      <c r="A30" s="1">
        <v>45971</v>
      </c>
      <c r="B30" s="1" t="str">
        <f>TEXT(Tabela1[[#This Row],[Data]],"mmmm")</f>
        <v>listopad</v>
      </c>
      <c r="C30" s="1" t="str">
        <f>TEXT(Tabela1[[#This Row],[Data]],"dddd")</f>
        <v>poniedziałek</v>
      </c>
      <c r="D30">
        <f>WEEKNUM(Tabela1[[#This Row],[Data]],2)</f>
        <v>46</v>
      </c>
      <c r="E30" t="str">
        <f>IF(WEEKDAY(Tabela1[[#This Row],[Data]],2)&gt;5,"TAK","NIE")</f>
        <v>NIE</v>
      </c>
      <c r="F30" s="2">
        <f>IF(Tabela1[[#This Row],[Wypadki drogowe]]=0,0,Tabela1[[#This Row],[Zabici w wypadkach]]/Tabela1[[#This Row],[Wypadki drogowe]])</f>
        <v>3.5087719298245612E-2</v>
      </c>
      <c r="G30" s="40">
        <f>(Tabela1[[#This Row],[Zatrzymani na gorącym uczynku]]/Tabela1[[#This Row],[Interwencje]])*1000</f>
        <v>32.833425908782324</v>
      </c>
      <c r="H30">
        <v>16203</v>
      </c>
      <c r="I30">
        <v>532</v>
      </c>
      <c r="J30">
        <v>298</v>
      </c>
      <c r="K30">
        <v>263</v>
      </c>
      <c r="L30">
        <v>57</v>
      </c>
      <c r="M30">
        <v>2</v>
      </c>
      <c r="N30">
        <v>75</v>
      </c>
    </row>
    <row r="31" spans="1:14" x14ac:dyDescent="0.3">
      <c r="A31" s="1">
        <v>45970</v>
      </c>
      <c r="B31" s="1" t="str">
        <f>TEXT(Tabela1[[#This Row],[Data]],"mmmm")</f>
        <v>listopad</v>
      </c>
      <c r="C31" s="1" t="str">
        <f>TEXT(Tabela1[[#This Row],[Data]],"dddd")</f>
        <v>niedziela</v>
      </c>
      <c r="D31">
        <f>WEEKNUM(Tabela1[[#This Row],[Data]],2)</f>
        <v>45</v>
      </c>
      <c r="E31" t="str">
        <f>IF(WEEKDAY(Tabela1[[#This Row],[Data]],2)&gt;5,"TAK","NIE")</f>
        <v>TAK</v>
      </c>
      <c r="F31" s="2">
        <f>IF(Tabela1[[#This Row],[Wypadki drogowe]]=0,0,Tabela1[[#This Row],[Zabici w wypadkach]]/Tabela1[[#This Row],[Wypadki drogowe]])</f>
        <v>0.14583333333333334</v>
      </c>
      <c r="G31" s="40">
        <f>(Tabela1[[#This Row],[Zatrzymani na gorącym uczynku]]/Tabela1[[#This Row],[Interwencje]])*1000</f>
        <v>42.526440352044965</v>
      </c>
      <c r="H31">
        <v>13521</v>
      </c>
      <c r="I31">
        <v>575</v>
      </c>
      <c r="J31">
        <v>199</v>
      </c>
      <c r="K31">
        <v>284</v>
      </c>
      <c r="L31">
        <v>48</v>
      </c>
      <c r="M31">
        <v>7</v>
      </c>
      <c r="N31">
        <v>58</v>
      </c>
    </row>
    <row r="32" spans="1:14" x14ac:dyDescent="0.3">
      <c r="A32" s="1">
        <v>45969</v>
      </c>
      <c r="B32" s="1" t="str">
        <f>TEXT(Tabela1[[#This Row],[Data]],"mmmm")</f>
        <v>listopad</v>
      </c>
      <c r="C32" s="1" t="str">
        <f>TEXT(Tabela1[[#This Row],[Data]],"dddd")</f>
        <v>sobota</v>
      </c>
      <c r="D32">
        <f>WEEKNUM(Tabela1[[#This Row],[Data]],2)</f>
        <v>45</v>
      </c>
      <c r="E32" t="str">
        <f>IF(WEEKDAY(Tabela1[[#This Row],[Data]],2)&gt;5,"TAK","NIE")</f>
        <v>TAK</v>
      </c>
      <c r="F32" s="2">
        <f>IF(Tabela1[[#This Row],[Wypadki drogowe]]=0,0,Tabela1[[#This Row],[Zabici w wypadkach]]/Tabela1[[#This Row],[Wypadki drogowe]])</f>
        <v>4.5454545454545456E-2</v>
      </c>
      <c r="G32" s="40">
        <f>(Tabela1[[#This Row],[Zatrzymani na gorącym uczynku]]/Tabela1[[#This Row],[Interwencje]])*1000</f>
        <v>35.099141757916541</v>
      </c>
      <c r="H32">
        <v>16895</v>
      </c>
      <c r="I32">
        <v>593</v>
      </c>
      <c r="J32">
        <v>234</v>
      </c>
      <c r="K32">
        <v>288</v>
      </c>
      <c r="L32">
        <v>44</v>
      </c>
      <c r="M32">
        <v>2</v>
      </c>
      <c r="N32">
        <v>59</v>
      </c>
    </row>
    <row r="33" spans="1:14" x14ac:dyDescent="0.3">
      <c r="A33" s="1">
        <v>45968</v>
      </c>
      <c r="B33" s="1" t="str">
        <f>TEXT(Tabela1[[#This Row],[Data]],"mmmm")</f>
        <v>listopad</v>
      </c>
      <c r="C33" s="1" t="str">
        <f>TEXT(Tabela1[[#This Row],[Data]],"dddd")</f>
        <v>piątek</v>
      </c>
      <c r="D33">
        <f>WEEKNUM(Tabela1[[#This Row],[Data]],2)</f>
        <v>45</v>
      </c>
      <c r="E33" t="str">
        <f>IF(WEEKDAY(Tabela1[[#This Row],[Data]],2)&gt;5,"TAK","NIE")</f>
        <v>NIE</v>
      </c>
      <c r="F33" s="2">
        <f>IF(Tabela1[[#This Row],[Wypadki drogowe]]=0,0,Tabela1[[#This Row],[Zabici w wypadkach]]/Tabela1[[#This Row],[Wypadki drogowe]])</f>
        <v>0.11475409836065574</v>
      </c>
      <c r="G33" s="40">
        <f>(Tabela1[[#This Row],[Zatrzymani na gorącym uczynku]]/Tabela1[[#This Row],[Interwencje]])*1000</f>
        <v>30.346901275126676</v>
      </c>
      <c r="H33">
        <v>17959</v>
      </c>
      <c r="I33">
        <v>545</v>
      </c>
      <c r="J33">
        <v>427</v>
      </c>
      <c r="K33">
        <v>246</v>
      </c>
      <c r="L33">
        <v>61</v>
      </c>
      <c r="M33">
        <v>7</v>
      </c>
      <c r="N33">
        <v>61</v>
      </c>
    </row>
    <row r="34" spans="1:14" x14ac:dyDescent="0.3">
      <c r="A34" s="1">
        <v>45967</v>
      </c>
      <c r="B34" s="1" t="str">
        <f>TEXT(Tabela1[[#This Row],[Data]],"mmmm")</f>
        <v>listopad</v>
      </c>
      <c r="C34" s="1" t="str">
        <f>TEXT(Tabela1[[#This Row],[Data]],"dddd")</f>
        <v>czwartek</v>
      </c>
      <c r="D34">
        <f>WEEKNUM(Tabela1[[#This Row],[Data]],2)</f>
        <v>45</v>
      </c>
      <c r="E34" t="str">
        <f>IF(WEEKDAY(Tabela1[[#This Row],[Data]],2)&gt;5,"TAK","NIE")</f>
        <v>NIE</v>
      </c>
      <c r="F34" s="2">
        <f>IF(Tabela1[[#This Row],[Wypadki drogowe]]=0,0,Tabela1[[#This Row],[Zabici w wypadkach]]/Tabela1[[#This Row],[Wypadki drogowe]])</f>
        <v>8.1967213114754092E-2</v>
      </c>
      <c r="G34" s="40">
        <f>(Tabela1[[#This Row],[Zatrzymani na gorącym uczynku]]/Tabela1[[#This Row],[Interwencje]])*1000</f>
        <v>34.655010927255695</v>
      </c>
      <c r="H34">
        <v>16015</v>
      </c>
      <c r="I34">
        <v>555</v>
      </c>
      <c r="J34">
        <v>414</v>
      </c>
      <c r="K34">
        <v>248</v>
      </c>
      <c r="L34">
        <v>61</v>
      </c>
      <c r="M34">
        <v>5</v>
      </c>
      <c r="N34">
        <v>63</v>
      </c>
    </row>
    <row r="35" spans="1:14" x14ac:dyDescent="0.3">
      <c r="A35" s="1">
        <v>45966</v>
      </c>
      <c r="B35" s="1" t="str">
        <f>TEXT(Tabela1[[#This Row],[Data]],"mmmm")</f>
        <v>listopad</v>
      </c>
      <c r="C35" s="1" t="str">
        <f>TEXT(Tabela1[[#This Row],[Data]],"dddd")</f>
        <v>środa</v>
      </c>
      <c r="D35">
        <f>WEEKNUM(Tabela1[[#This Row],[Data]],2)</f>
        <v>45</v>
      </c>
      <c r="E35" t="str">
        <f>IF(WEEKDAY(Tabela1[[#This Row],[Data]],2)&gt;5,"TAK","NIE")</f>
        <v>NIE</v>
      </c>
      <c r="F35" s="2">
        <f>IF(Tabela1[[#This Row],[Wypadki drogowe]]=0,0,Tabela1[[#This Row],[Zabici w wypadkach]]/Tabela1[[#This Row],[Wypadki drogowe]])</f>
        <v>1.6129032258064516E-2</v>
      </c>
      <c r="G35" s="40">
        <f>(Tabela1[[#This Row],[Zatrzymani na gorącym uczynku]]/Tabela1[[#This Row],[Interwencje]])*1000</f>
        <v>33.649644150330879</v>
      </c>
      <c r="H35">
        <v>16018</v>
      </c>
      <c r="I35">
        <v>539</v>
      </c>
      <c r="J35">
        <v>416</v>
      </c>
      <c r="K35">
        <v>226</v>
      </c>
      <c r="L35">
        <v>62</v>
      </c>
      <c r="M35">
        <v>1</v>
      </c>
      <c r="N35">
        <v>70</v>
      </c>
    </row>
    <row r="36" spans="1:14" x14ac:dyDescent="0.3">
      <c r="A36" s="1">
        <v>45965</v>
      </c>
      <c r="B36" s="1" t="str">
        <f>TEXT(Tabela1[[#This Row],[Data]],"mmmm")</f>
        <v>listopad</v>
      </c>
      <c r="C36" s="1" t="str">
        <f>TEXT(Tabela1[[#This Row],[Data]],"dddd")</f>
        <v>wtorek</v>
      </c>
      <c r="D36">
        <f>WEEKNUM(Tabela1[[#This Row],[Data]],2)</f>
        <v>45</v>
      </c>
      <c r="E36" t="str">
        <f>IF(WEEKDAY(Tabela1[[#This Row],[Data]],2)&gt;5,"TAK","NIE")</f>
        <v>NIE</v>
      </c>
      <c r="F36" s="2">
        <f>IF(Tabela1[[#This Row],[Wypadki drogowe]]=0,0,Tabela1[[#This Row],[Zabici w wypadkach]]/Tabela1[[#This Row],[Wypadki drogowe]])</f>
        <v>6.1538461538461542E-2</v>
      </c>
      <c r="G36" s="40">
        <f>(Tabela1[[#This Row],[Zatrzymani na gorącym uczynku]]/Tabela1[[#This Row],[Interwencje]])*1000</f>
        <v>30.979162825004611</v>
      </c>
      <c r="H36">
        <v>16269</v>
      </c>
      <c r="I36">
        <v>504</v>
      </c>
      <c r="J36">
        <v>398</v>
      </c>
      <c r="K36">
        <v>169</v>
      </c>
      <c r="L36">
        <v>65</v>
      </c>
      <c r="M36">
        <v>4</v>
      </c>
      <c r="N36">
        <v>73</v>
      </c>
    </row>
    <row r="37" spans="1:14" x14ac:dyDescent="0.3">
      <c r="A37" s="1">
        <v>45964</v>
      </c>
      <c r="B37" s="1" t="str">
        <f>TEXT(Tabela1[[#This Row],[Data]],"mmmm")</f>
        <v>listopad</v>
      </c>
      <c r="C37" s="1" t="str">
        <f>TEXT(Tabela1[[#This Row],[Data]],"dddd")</f>
        <v>poniedziałek</v>
      </c>
      <c r="D37">
        <f>WEEKNUM(Tabela1[[#This Row],[Data]],2)</f>
        <v>45</v>
      </c>
      <c r="E37" t="str">
        <f>IF(WEEKDAY(Tabela1[[#This Row],[Data]],2)&gt;5,"TAK","NIE")</f>
        <v>NIE</v>
      </c>
      <c r="F37" s="2">
        <f>IF(Tabela1[[#This Row],[Wypadki drogowe]]=0,0,Tabela1[[#This Row],[Zabici w wypadkach]]/Tabela1[[#This Row],[Wypadki drogowe]])</f>
        <v>9.8360655737704916E-2</v>
      </c>
      <c r="G37" s="40">
        <f>(Tabela1[[#This Row],[Zatrzymani na gorącym uczynku]]/Tabela1[[#This Row],[Interwencje]])*1000</f>
        <v>41.56367893846754</v>
      </c>
      <c r="H37">
        <v>15374</v>
      </c>
      <c r="I37">
        <v>639</v>
      </c>
      <c r="J37">
        <v>330</v>
      </c>
      <c r="K37">
        <v>397</v>
      </c>
      <c r="L37">
        <v>61</v>
      </c>
      <c r="M37">
        <v>6</v>
      </c>
      <c r="N37">
        <v>69</v>
      </c>
    </row>
    <row r="38" spans="1:14" x14ac:dyDescent="0.3">
      <c r="A38" s="1">
        <v>45963</v>
      </c>
      <c r="B38" s="1" t="str">
        <f>TEXT(Tabela1[[#This Row],[Data]],"mmmm")</f>
        <v>listopad</v>
      </c>
      <c r="C38" s="1" t="str">
        <f>TEXT(Tabela1[[#This Row],[Data]],"dddd")</f>
        <v>niedziela</v>
      </c>
      <c r="D38">
        <f>WEEKNUM(Tabela1[[#This Row],[Data]],2)</f>
        <v>44</v>
      </c>
      <c r="E38" t="str">
        <f>IF(WEEKDAY(Tabela1[[#This Row],[Data]],2)&gt;5,"TAK","NIE")</f>
        <v>TAK</v>
      </c>
      <c r="F38" s="2">
        <f>IF(Tabela1[[#This Row],[Wypadki drogowe]]=0,0,Tabela1[[#This Row],[Zabici w wypadkach]]/Tabela1[[#This Row],[Wypadki drogowe]])</f>
        <v>8.3333333333333329E-2</v>
      </c>
      <c r="G38" s="40">
        <f>(Tabela1[[#This Row],[Zatrzymani na gorącym uczynku]]/Tabela1[[#This Row],[Interwencje]])*1000</f>
        <v>40.364679067715613</v>
      </c>
      <c r="H38">
        <v>13601</v>
      </c>
      <c r="I38">
        <v>549</v>
      </c>
      <c r="J38">
        <v>245</v>
      </c>
      <c r="K38">
        <v>327</v>
      </c>
      <c r="L38">
        <v>36</v>
      </c>
      <c r="M38">
        <v>3</v>
      </c>
      <c r="N38">
        <v>46</v>
      </c>
    </row>
    <row r="39" spans="1:14" x14ac:dyDescent="0.3">
      <c r="A39" s="1">
        <v>45962</v>
      </c>
      <c r="B39" s="1" t="str">
        <f>TEXT(Tabela1[[#This Row],[Data]],"mmmm")</f>
        <v>listopad</v>
      </c>
      <c r="C39" s="1" t="str">
        <f>TEXT(Tabela1[[#This Row],[Data]],"dddd")</f>
        <v>sobota</v>
      </c>
      <c r="D39">
        <f>WEEKNUM(Tabela1[[#This Row],[Data]],2)</f>
        <v>44</v>
      </c>
      <c r="E39" t="str">
        <f>IF(WEEKDAY(Tabela1[[#This Row],[Data]],2)&gt;5,"TAK","NIE")</f>
        <v>TAK</v>
      </c>
      <c r="F39" s="2">
        <f>IF(Tabela1[[#This Row],[Wypadki drogowe]]=0,0,Tabela1[[#This Row],[Zabici w wypadkach]]/Tabela1[[#This Row],[Wypadki drogowe]])</f>
        <v>3.7037037037037035E-2</v>
      </c>
      <c r="G39" s="40">
        <f>(Tabela1[[#This Row],[Zatrzymani na gorącym uczynku]]/Tabela1[[#This Row],[Interwencje]])*1000</f>
        <v>34.59493274945261</v>
      </c>
      <c r="H39">
        <v>15985</v>
      </c>
      <c r="I39">
        <v>553</v>
      </c>
      <c r="J39">
        <v>265</v>
      </c>
      <c r="K39">
        <v>290</v>
      </c>
      <c r="L39">
        <v>54</v>
      </c>
      <c r="M39">
        <v>2</v>
      </c>
      <c r="N39">
        <v>79</v>
      </c>
    </row>
    <row r="40" spans="1:14" x14ac:dyDescent="0.3">
      <c r="A40" s="1">
        <v>45961</v>
      </c>
      <c r="B40" s="1" t="str">
        <f>TEXT(Tabela1[[#This Row],[Data]],"mmmm")</f>
        <v>październik</v>
      </c>
      <c r="C40" s="1" t="str">
        <f>TEXT(Tabela1[[#This Row],[Data]],"dddd")</f>
        <v>piątek</v>
      </c>
      <c r="D40">
        <f>WEEKNUM(Tabela1[[#This Row],[Data]],2)</f>
        <v>44</v>
      </c>
      <c r="E40" t="str">
        <f>IF(WEEKDAY(Tabela1[[#This Row],[Data]],2)&gt;5,"TAK","NIE")</f>
        <v>NIE</v>
      </c>
      <c r="F40" s="2">
        <f>IF(Tabela1[[#This Row],[Wypadki drogowe]]=0,0,Tabela1[[#This Row],[Zabici w wypadkach]]/Tabela1[[#This Row],[Wypadki drogowe]])</f>
        <v>4.3478260869565216E-2</v>
      </c>
      <c r="G40" s="40">
        <f>(Tabela1[[#This Row],[Zatrzymani na gorącym uczynku]]/Tabela1[[#This Row],[Interwencje]])*1000</f>
        <v>27.401798390913392</v>
      </c>
      <c r="H40">
        <v>21130</v>
      </c>
      <c r="I40">
        <v>579</v>
      </c>
      <c r="J40">
        <v>411</v>
      </c>
      <c r="K40">
        <v>228</v>
      </c>
      <c r="L40">
        <v>92</v>
      </c>
      <c r="M40">
        <v>4</v>
      </c>
      <c r="N40">
        <v>105</v>
      </c>
    </row>
    <row r="41" spans="1:14" x14ac:dyDescent="0.3">
      <c r="A41" s="1">
        <v>45960</v>
      </c>
      <c r="B41" s="1" t="str">
        <f>TEXT(Tabela1[[#This Row],[Data]],"mmmm")</f>
        <v>październik</v>
      </c>
      <c r="C41" s="1" t="str">
        <f>TEXT(Tabela1[[#This Row],[Data]],"dddd")</f>
        <v>czwartek</v>
      </c>
      <c r="D41">
        <f>WEEKNUM(Tabela1[[#This Row],[Data]],2)</f>
        <v>44</v>
      </c>
      <c r="E41" t="str">
        <f>IF(WEEKDAY(Tabela1[[#This Row],[Data]],2)&gt;5,"TAK","NIE")</f>
        <v>NIE</v>
      </c>
      <c r="F41" s="2">
        <f>IF(Tabela1[[#This Row],[Wypadki drogowe]]=0,0,Tabela1[[#This Row],[Zabici w wypadkach]]/Tabela1[[#This Row],[Wypadki drogowe]])</f>
        <v>0.10256410256410256</v>
      </c>
      <c r="G41" s="40">
        <f>(Tabela1[[#This Row],[Zatrzymani na gorącym uczynku]]/Tabela1[[#This Row],[Interwencje]])*1000</f>
        <v>30.872876391329818</v>
      </c>
      <c r="H41">
        <v>17070</v>
      </c>
      <c r="I41">
        <v>527</v>
      </c>
      <c r="J41">
        <v>438</v>
      </c>
      <c r="K41">
        <v>210</v>
      </c>
      <c r="L41">
        <v>78</v>
      </c>
      <c r="M41">
        <v>8</v>
      </c>
      <c r="N41">
        <v>94</v>
      </c>
    </row>
    <row r="42" spans="1:14" x14ac:dyDescent="0.3">
      <c r="A42" s="1">
        <v>45959</v>
      </c>
      <c r="B42" s="1" t="str">
        <f>TEXT(Tabela1[[#This Row],[Data]],"mmmm")</f>
        <v>październik</v>
      </c>
      <c r="C42" s="1" t="str">
        <f>TEXT(Tabela1[[#This Row],[Data]],"dddd")</f>
        <v>środa</v>
      </c>
      <c r="D42">
        <f>WEEKNUM(Tabela1[[#This Row],[Data]],2)</f>
        <v>44</v>
      </c>
      <c r="E42" t="str">
        <f>IF(WEEKDAY(Tabela1[[#This Row],[Data]],2)&gt;5,"TAK","NIE")</f>
        <v>NIE</v>
      </c>
      <c r="F42" s="2">
        <f>IF(Tabela1[[#This Row],[Wypadki drogowe]]=0,0,Tabela1[[#This Row],[Zabici w wypadkach]]/Tabela1[[#This Row],[Wypadki drogowe]])</f>
        <v>7.6923076923076927E-2</v>
      </c>
      <c r="G42" s="40">
        <f>(Tabela1[[#This Row],[Zatrzymani na gorącym uczynku]]/Tabela1[[#This Row],[Interwencje]])*1000</f>
        <v>33.947623666343361</v>
      </c>
      <c r="H42">
        <v>16496</v>
      </c>
      <c r="I42">
        <v>560</v>
      </c>
      <c r="J42">
        <v>543</v>
      </c>
      <c r="K42">
        <v>195</v>
      </c>
      <c r="L42">
        <v>78</v>
      </c>
      <c r="M42">
        <v>6</v>
      </c>
      <c r="N42">
        <v>84</v>
      </c>
    </row>
    <row r="43" spans="1:14" x14ac:dyDescent="0.3">
      <c r="A43" s="1">
        <v>45958</v>
      </c>
      <c r="B43" s="1" t="str">
        <f>TEXT(Tabela1[[#This Row],[Data]],"mmmm")</f>
        <v>październik</v>
      </c>
      <c r="C43" s="1" t="str">
        <f>TEXT(Tabela1[[#This Row],[Data]],"dddd")</f>
        <v>wtorek</v>
      </c>
      <c r="D43">
        <f>WEEKNUM(Tabela1[[#This Row],[Data]],2)</f>
        <v>44</v>
      </c>
      <c r="E43" t="str">
        <f>IF(WEEKDAY(Tabela1[[#This Row],[Data]],2)&gt;5,"TAK","NIE")</f>
        <v>NIE</v>
      </c>
      <c r="F43" s="2">
        <f>IF(Tabela1[[#This Row],[Wypadki drogowe]]=0,0,Tabela1[[#This Row],[Zabici w wypadkach]]/Tabela1[[#This Row],[Wypadki drogowe]])</f>
        <v>4.1666666666666664E-2</v>
      </c>
      <c r="G43" s="40">
        <f>(Tabela1[[#This Row],[Zatrzymani na gorącym uczynku]]/Tabela1[[#This Row],[Interwencje]])*1000</f>
        <v>29.080496341075406</v>
      </c>
      <c r="H43">
        <v>15715</v>
      </c>
      <c r="I43">
        <v>457</v>
      </c>
      <c r="J43">
        <v>528</v>
      </c>
      <c r="K43">
        <v>161</v>
      </c>
      <c r="L43">
        <v>72</v>
      </c>
      <c r="M43">
        <v>3</v>
      </c>
      <c r="N43">
        <v>81</v>
      </c>
    </row>
    <row r="44" spans="1:14" x14ac:dyDescent="0.3">
      <c r="A44" s="1">
        <v>45957</v>
      </c>
      <c r="B44" s="1" t="str">
        <f>TEXT(Tabela1[[#This Row],[Data]],"mmmm")</f>
        <v>październik</v>
      </c>
      <c r="C44" s="1" t="str">
        <f>TEXT(Tabela1[[#This Row],[Data]],"dddd")</f>
        <v>poniedziałek</v>
      </c>
      <c r="D44">
        <f>WEEKNUM(Tabela1[[#This Row],[Data]],2)</f>
        <v>44</v>
      </c>
      <c r="E44" t="str">
        <f>IF(WEEKDAY(Tabela1[[#This Row],[Data]],2)&gt;5,"TAK","NIE")</f>
        <v>NIE</v>
      </c>
      <c r="F44" s="2">
        <f>IF(Tabela1[[#This Row],[Wypadki drogowe]]=0,0,Tabela1[[#This Row],[Zabici w wypadkach]]/Tabela1[[#This Row],[Wypadki drogowe]])</f>
        <v>8.6206896551724144E-2</v>
      </c>
      <c r="G44" s="40">
        <f>(Tabela1[[#This Row],[Zatrzymani na gorącym uczynku]]/Tabela1[[#This Row],[Interwencje]])*1000</f>
        <v>36.511539916761251</v>
      </c>
      <c r="H44">
        <v>15858</v>
      </c>
      <c r="I44">
        <v>579</v>
      </c>
      <c r="J44">
        <v>416</v>
      </c>
      <c r="K44">
        <v>238</v>
      </c>
      <c r="L44">
        <v>58</v>
      </c>
      <c r="M44">
        <v>5</v>
      </c>
      <c r="N44">
        <v>63</v>
      </c>
    </row>
    <row r="45" spans="1:14" x14ac:dyDescent="0.3">
      <c r="A45" s="1">
        <v>45956</v>
      </c>
      <c r="B45" s="1" t="str">
        <f>TEXT(Tabela1[[#This Row],[Data]],"mmmm")</f>
        <v>październik</v>
      </c>
      <c r="C45" s="1" t="str">
        <f>TEXT(Tabela1[[#This Row],[Data]],"dddd")</f>
        <v>niedziela</v>
      </c>
      <c r="D45">
        <f>WEEKNUM(Tabela1[[#This Row],[Data]],2)</f>
        <v>43</v>
      </c>
      <c r="E45" t="str">
        <f>IF(WEEKDAY(Tabela1[[#This Row],[Data]],2)&gt;5,"TAK","NIE")</f>
        <v>TAK</v>
      </c>
      <c r="F45" s="2">
        <f>IF(Tabela1[[#This Row],[Wypadki drogowe]]=0,0,Tabela1[[#This Row],[Zabici w wypadkach]]/Tabela1[[#This Row],[Wypadki drogowe]])</f>
        <v>0.10869565217391304</v>
      </c>
      <c r="G45" s="40">
        <f>(Tabela1[[#This Row],[Zatrzymani na gorącym uczynku]]/Tabela1[[#This Row],[Interwencje]])*1000</f>
        <v>35.198490456491761</v>
      </c>
      <c r="H45">
        <v>13779</v>
      </c>
      <c r="I45">
        <v>485</v>
      </c>
      <c r="J45">
        <v>197</v>
      </c>
      <c r="K45">
        <v>254</v>
      </c>
      <c r="L45">
        <v>46</v>
      </c>
      <c r="M45">
        <v>5</v>
      </c>
      <c r="N45">
        <v>56</v>
      </c>
    </row>
    <row r="46" spans="1:14" x14ac:dyDescent="0.3">
      <c r="A46" s="1">
        <v>45955</v>
      </c>
      <c r="B46" s="1" t="str">
        <f>TEXT(Tabela1[[#This Row],[Data]],"mmmm")</f>
        <v>październik</v>
      </c>
      <c r="C46" s="1" t="str">
        <f>TEXT(Tabela1[[#This Row],[Data]],"dddd")</f>
        <v>sobota</v>
      </c>
      <c r="D46">
        <f>WEEKNUM(Tabela1[[#This Row],[Data]],2)</f>
        <v>43</v>
      </c>
      <c r="E46" t="str">
        <f>IF(WEEKDAY(Tabela1[[#This Row],[Data]],2)&gt;5,"TAK","NIE")</f>
        <v>TAK</v>
      </c>
      <c r="F46" s="2">
        <f>IF(Tabela1[[#This Row],[Wypadki drogowe]]=0,0,Tabela1[[#This Row],[Zabici w wypadkach]]/Tabela1[[#This Row],[Wypadki drogowe]])</f>
        <v>0.12962962962962962</v>
      </c>
      <c r="G46" s="40">
        <f>(Tabela1[[#This Row],[Zatrzymani na gorącym uczynku]]/Tabela1[[#This Row],[Interwencje]])*1000</f>
        <v>34.349532146091157</v>
      </c>
      <c r="H46">
        <v>16565</v>
      </c>
      <c r="I46">
        <v>569</v>
      </c>
      <c r="J46">
        <v>223</v>
      </c>
      <c r="K46">
        <v>252</v>
      </c>
      <c r="L46">
        <v>54</v>
      </c>
      <c r="M46">
        <v>7</v>
      </c>
      <c r="N46">
        <v>61</v>
      </c>
    </row>
    <row r="47" spans="1:14" x14ac:dyDescent="0.3">
      <c r="A47" s="1">
        <v>45954</v>
      </c>
      <c r="B47" s="1" t="str">
        <f>TEXT(Tabela1[[#This Row],[Data]],"mmmm")</f>
        <v>październik</v>
      </c>
      <c r="C47" s="1" t="str">
        <f>TEXT(Tabela1[[#This Row],[Data]],"dddd")</f>
        <v>piątek</v>
      </c>
      <c r="D47">
        <f>WEEKNUM(Tabela1[[#This Row],[Data]],2)</f>
        <v>43</v>
      </c>
      <c r="E47" t="str">
        <f>IF(WEEKDAY(Tabela1[[#This Row],[Data]],2)&gt;5,"TAK","NIE")</f>
        <v>NIE</v>
      </c>
      <c r="F47" s="2">
        <f>IF(Tabela1[[#This Row],[Wypadki drogowe]]=0,0,Tabela1[[#This Row],[Zabici w wypadkach]]/Tabela1[[#This Row],[Wypadki drogowe]])</f>
        <v>6.4935064935064929E-2</v>
      </c>
      <c r="G47" s="40">
        <f>(Tabela1[[#This Row],[Zatrzymani na gorącym uczynku]]/Tabela1[[#This Row],[Interwencje]])*1000</f>
        <v>33.180103724658181</v>
      </c>
      <c r="H47">
        <v>16968</v>
      </c>
      <c r="I47">
        <v>563</v>
      </c>
      <c r="J47">
        <v>430</v>
      </c>
      <c r="K47">
        <v>252</v>
      </c>
      <c r="L47">
        <v>77</v>
      </c>
      <c r="M47">
        <v>5</v>
      </c>
      <c r="N47">
        <v>94</v>
      </c>
    </row>
    <row r="48" spans="1:14" x14ac:dyDescent="0.3">
      <c r="A48" s="1">
        <v>45953</v>
      </c>
      <c r="B48" s="1" t="str">
        <f>TEXT(Tabela1[[#This Row],[Data]],"mmmm")</f>
        <v>październik</v>
      </c>
      <c r="C48" s="1" t="str">
        <f>TEXT(Tabela1[[#This Row],[Data]],"dddd")</f>
        <v>czwartek</v>
      </c>
      <c r="D48">
        <f>WEEKNUM(Tabela1[[#This Row],[Data]],2)</f>
        <v>43</v>
      </c>
      <c r="E48" t="str">
        <f>IF(WEEKDAY(Tabela1[[#This Row],[Data]],2)&gt;5,"TAK","NIE")</f>
        <v>NIE</v>
      </c>
      <c r="F48" s="2">
        <f>IF(Tabela1[[#This Row],[Wypadki drogowe]]=0,0,Tabela1[[#This Row],[Zabici w wypadkach]]/Tabela1[[#This Row],[Wypadki drogowe]])</f>
        <v>5.0632911392405063E-2</v>
      </c>
      <c r="G48" s="40">
        <f>(Tabela1[[#This Row],[Zatrzymani na gorącym uczynku]]/Tabela1[[#This Row],[Interwencje]])*1000</f>
        <v>37.384854647685131</v>
      </c>
      <c r="H48">
        <v>16718</v>
      </c>
      <c r="I48">
        <v>625</v>
      </c>
      <c r="J48">
        <v>496</v>
      </c>
      <c r="K48">
        <v>249</v>
      </c>
      <c r="L48">
        <v>79</v>
      </c>
      <c r="M48">
        <v>4</v>
      </c>
      <c r="N48">
        <v>85</v>
      </c>
    </row>
    <row r="49" spans="1:14" x14ac:dyDescent="0.3">
      <c r="A49" s="1">
        <v>45952</v>
      </c>
      <c r="B49" s="1" t="str">
        <f>TEXT(Tabela1[[#This Row],[Data]],"mmmm")</f>
        <v>październik</v>
      </c>
      <c r="C49" s="1" t="str">
        <f>TEXT(Tabela1[[#This Row],[Data]],"dddd")</f>
        <v>środa</v>
      </c>
      <c r="D49">
        <f>WEEKNUM(Tabela1[[#This Row],[Data]],2)</f>
        <v>43</v>
      </c>
      <c r="E49" t="str">
        <f>IF(WEEKDAY(Tabela1[[#This Row],[Data]],2)&gt;5,"TAK","NIE")</f>
        <v>NIE</v>
      </c>
      <c r="F49" s="2">
        <f>IF(Tabela1[[#This Row],[Wypadki drogowe]]=0,0,Tabela1[[#This Row],[Zabici w wypadkach]]/Tabela1[[#This Row],[Wypadki drogowe]])</f>
        <v>4.9180327868852458E-2</v>
      </c>
      <c r="G49" s="40">
        <f>(Tabela1[[#This Row],[Zatrzymani na gorącym uczynku]]/Tabela1[[#This Row],[Interwencje]])*1000</f>
        <v>33.143705169428642</v>
      </c>
      <c r="H49">
        <v>16172</v>
      </c>
      <c r="I49">
        <v>536</v>
      </c>
      <c r="J49">
        <v>479</v>
      </c>
      <c r="K49">
        <v>202</v>
      </c>
      <c r="L49">
        <v>61</v>
      </c>
      <c r="M49">
        <v>3</v>
      </c>
      <c r="N49">
        <v>69</v>
      </c>
    </row>
    <row r="50" spans="1:14" x14ac:dyDescent="0.3">
      <c r="A50" s="1">
        <v>45951</v>
      </c>
      <c r="B50" s="1" t="str">
        <f>TEXT(Tabela1[[#This Row],[Data]],"mmmm")</f>
        <v>październik</v>
      </c>
      <c r="C50" s="1" t="str">
        <f>TEXT(Tabela1[[#This Row],[Data]],"dddd")</f>
        <v>wtorek</v>
      </c>
      <c r="D50">
        <f>WEEKNUM(Tabela1[[#This Row],[Data]],2)</f>
        <v>43</v>
      </c>
      <c r="E50" t="str">
        <f>IF(WEEKDAY(Tabela1[[#This Row],[Data]],2)&gt;5,"TAK","NIE")</f>
        <v>NIE</v>
      </c>
      <c r="F50" s="2">
        <f>IF(Tabela1[[#This Row],[Wypadki drogowe]]=0,0,Tabela1[[#This Row],[Zabici w wypadkach]]/Tabela1[[#This Row],[Wypadki drogowe]])</f>
        <v>9.8591549295774641E-2</v>
      </c>
      <c r="G50" s="40">
        <f>(Tabela1[[#This Row],[Zatrzymani na gorącym uczynku]]/Tabela1[[#This Row],[Interwencje]])*1000</f>
        <v>34.575835475578408</v>
      </c>
      <c r="H50">
        <v>15560</v>
      </c>
      <c r="I50">
        <v>538</v>
      </c>
      <c r="J50">
        <v>455</v>
      </c>
      <c r="K50">
        <v>206</v>
      </c>
      <c r="L50">
        <v>71</v>
      </c>
      <c r="M50">
        <v>7</v>
      </c>
      <c r="N50">
        <v>72</v>
      </c>
    </row>
    <row r="51" spans="1:14" x14ac:dyDescent="0.3">
      <c r="A51" s="1">
        <v>45950</v>
      </c>
      <c r="B51" s="1" t="str">
        <f>TEXT(Tabela1[[#This Row],[Data]],"mmmm")</f>
        <v>październik</v>
      </c>
      <c r="C51" s="1" t="str">
        <f>TEXT(Tabela1[[#This Row],[Data]],"dddd")</f>
        <v>poniedziałek</v>
      </c>
      <c r="D51">
        <f>WEEKNUM(Tabela1[[#This Row],[Data]],2)</f>
        <v>43</v>
      </c>
      <c r="E51" t="str">
        <f>IF(WEEKDAY(Tabela1[[#This Row],[Data]],2)&gt;5,"TAK","NIE")</f>
        <v>NIE</v>
      </c>
      <c r="F51" s="2">
        <f>IF(Tabela1[[#This Row],[Wypadki drogowe]]=0,0,Tabela1[[#This Row],[Zabici w wypadkach]]/Tabela1[[#This Row],[Wypadki drogowe]])</f>
        <v>7.5268817204301078E-2</v>
      </c>
      <c r="G51" s="40">
        <f>(Tabela1[[#This Row],[Zatrzymani na gorącym uczynku]]/Tabela1[[#This Row],[Interwencje]])*1000</f>
        <v>38.425492033739452</v>
      </c>
      <c r="H51">
        <v>16005</v>
      </c>
      <c r="I51">
        <v>615</v>
      </c>
      <c r="J51">
        <v>334</v>
      </c>
      <c r="K51">
        <v>365</v>
      </c>
      <c r="L51">
        <v>93</v>
      </c>
      <c r="M51">
        <v>7</v>
      </c>
      <c r="N51">
        <v>96</v>
      </c>
    </row>
    <row r="52" spans="1:14" x14ac:dyDescent="0.3">
      <c r="A52" s="1">
        <v>45949</v>
      </c>
      <c r="B52" s="1" t="str">
        <f>TEXT(Tabela1[[#This Row],[Data]],"mmmm")</f>
        <v>październik</v>
      </c>
      <c r="C52" s="1" t="str">
        <f>TEXT(Tabela1[[#This Row],[Data]],"dddd")</f>
        <v>niedziela</v>
      </c>
      <c r="D52">
        <f>WEEKNUM(Tabela1[[#This Row],[Data]],2)</f>
        <v>42</v>
      </c>
      <c r="E52" t="str">
        <f>IF(WEEKDAY(Tabela1[[#This Row],[Data]],2)&gt;5,"TAK","NIE")</f>
        <v>TAK</v>
      </c>
      <c r="F52" s="2">
        <f>IF(Tabela1[[#This Row],[Wypadki drogowe]]=0,0,Tabela1[[#This Row],[Zabici w wypadkach]]/Tabela1[[#This Row],[Wypadki drogowe]])</f>
        <v>9.5238095238095233E-2</v>
      </c>
      <c r="G52" s="40">
        <f>(Tabela1[[#This Row],[Zatrzymani na gorącym uczynku]]/Tabela1[[#This Row],[Interwencje]])*1000</f>
        <v>40.386303775241437</v>
      </c>
      <c r="H52">
        <v>13668</v>
      </c>
      <c r="I52">
        <v>552</v>
      </c>
      <c r="J52">
        <v>181</v>
      </c>
      <c r="K52">
        <v>325</v>
      </c>
      <c r="L52">
        <v>42</v>
      </c>
      <c r="M52">
        <v>4</v>
      </c>
      <c r="N52">
        <v>46</v>
      </c>
    </row>
    <row r="53" spans="1:14" x14ac:dyDescent="0.3">
      <c r="A53" s="1">
        <v>45948</v>
      </c>
      <c r="B53" s="1" t="str">
        <f>TEXT(Tabela1[[#This Row],[Data]],"mmmm")</f>
        <v>październik</v>
      </c>
      <c r="C53" s="1" t="str">
        <f>TEXT(Tabela1[[#This Row],[Data]],"dddd")</f>
        <v>sobota</v>
      </c>
      <c r="D53">
        <f>WEEKNUM(Tabela1[[#This Row],[Data]],2)</f>
        <v>42</v>
      </c>
      <c r="E53" t="str">
        <f>IF(WEEKDAY(Tabela1[[#This Row],[Data]],2)&gt;5,"TAK","NIE")</f>
        <v>TAK</v>
      </c>
      <c r="F53" s="2">
        <f>IF(Tabela1[[#This Row],[Wypadki drogowe]]=0,0,Tabela1[[#This Row],[Zabici w wypadkach]]/Tabela1[[#This Row],[Wypadki drogowe]])</f>
        <v>7.5471698113207544E-2</v>
      </c>
      <c r="G53" s="40">
        <f>(Tabela1[[#This Row],[Zatrzymani na gorącym uczynku]]/Tabela1[[#This Row],[Interwencje]])*1000</f>
        <v>34.540211470682472</v>
      </c>
      <c r="H53">
        <v>15605</v>
      </c>
      <c r="I53">
        <v>539</v>
      </c>
      <c r="J53">
        <v>237</v>
      </c>
      <c r="K53">
        <v>295</v>
      </c>
      <c r="L53">
        <v>53</v>
      </c>
      <c r="M53">
        <v>4</v>
      </c>
      <c r="N53">
        <v>64</v>
      </c>
    </row>
    <row r="54" spans="1:14" x14ac:dyDescent="0.3">
      <c r="A54" s="1">
        <v>45947</v>
      </c>
      <c r="B54" s="1" t="str">
        <f>TEXT(Tabela1[[#This Row],[Data]],"mmmm")</f>
        <v>październik</v>
      </c>
      <c r="C54" s="1" t="str">
        <f>TEXT(Tabela1[[#This Row],[Data]],"dddd")</f>
        <v>piątek</v>
      </c>
      <c r="D54">
        <f>WEEKNUM(Tabela1[[#This Row],[Data]],2)</f>
        <v>42</v>
      </c>
      <c r="E54" t="str">
        <f>IF(WEEKDAY(Tabela1[[#This Row],[Data]],2)&gt;5,"TAK","NIE")</f>
        <v>NIE</v>
      </c>
      <c r="F54" s="2">
        <f>IF(Tabela1[[#This Row],[Wypadki drogowe]]=0,0,Tabela1[[#This Row],[Zabici w wypadkach]]/Tabela1[[#This Row],[Wypadki drogowe]])</f>
        <v>2.2222222222222223E-2</v>
      </c>
      <c r="G54" s="40">
        <f>(Tabela1[[#This Row],[Zatrzymani na gorącym uczynku]]/Tabela1[[#This Row],[Interwencje]])*1000</f>
        <v>35.927104425802717</v>
      </c>
      <c r="H54">
        <v>17285</v>
      </c>
      <c r="I54">
        <v>621</v>
      </c>
      <c r="J54">
        <v>414</v>
      </c>
      <c r="K54">
        <v>330</v>
      </c>
      <c r="L54">
        <v>45</v>
      </c>
      <c r="M54">
        <v>1</v>
      </c>
      <c r="N54">
        <v>54</v>
      </c>
    </row>
    <row r="55" spans="1:14" x14ac:dyDescent="0.3">
      <c r="A55" s="1">
        <v>45946</v>
      </c>
      <c r="B55" s="1" t="str">
        <f>TEXT(Tabela1[[#This Row],[Data]],"mmmm")</f>
        <v>październik</v>
      </c>
      <c r="C55" s="1" t="str">
        <f>TEXT(Tabela1[[#This Row],[Data]],"dddd")</f>
        <v>czwartek</v>
      </c>
      <c r="D55">
        <f>WEEKNUM(Tabela1[[#This Row],[Data]],2)</f>
        <v>42</v>
      </c>
      <c r="E55" t="str">
        <f>IF(WEEKDAY(Tabela1[[#This Row],[Data]],2)&gt;5,"TAK","NIE")</f>
        <v>NIE</v>
      </c>
      <c r="F55" s="2">
        <f>IF(Tabela1[[#This Row],[Wypadki drogowe]]=0,0,Tabela1[[#This Row],[Zabici w wypadkach]]/Tabela1[[#This Row],[Wypadki drogowe]])</f>
        <v>1.6666666666666666E-2</v>
      </c>
      <c r="G55" s="40">
        <f>(Tabela1[[#This Row],[Zatrzymani na gorącym uczynku]]/Tabela1[[#This Row],[Interwencje]])*1000</f>
        <v>38.261750918535412</v>
      </c>
      <c r="H55">
        <v>15786</v>
      </c>
      <c r="I55">
        <v>604</v>
      </c>
      <c r="J55">
        <v>460</v>
      </c>
      <c r="K55">
        <v>247</v>
      </c>
      <c r="L55">
        <v>60</v>
      </c>
      <c r="M55">
        <v>1</v>
      </c>
      <c r="N55">
        <v>74</v>
      </c>
    </row>
    <row r="56" spans="1:14" x14ac:dyDescent="0.3">
      <c r="A56" s="1">
        <v>45945</v>
      </c>
      <c r="B56" s="1" t="str">
        <f>TEXT(Tabela1[[#This Row],[Data]],"mmmm")</f>
        <v>październik</v>
      </c>
      <c r="C56" s="1" t="str">
        <f>TEXT(Tabela1[[#This Row],[Data]],"dddd")</f>
        <v>środa</v>
      </c>
      <c r="D56">
        <f>WEEKNUM(Tabela1[[#This Row],[Data]],2)</f>
        <v>42</v>
      </c>
      <c r="E56" t="str">
        <f>IF(WEEKDAY(Tabela1[[#This Row],[Data]],2)&gt;5,"TAK","NIE")</f>
        <v>NIE</v>
      </c>
      <c r="F56" s="2">
        <f>IF(Tabela1[[#This Row],[Wypadki drogowe]]=0,0,Tabela1[[#This Row],[Zabici w wypadkach]]/Tabela1[[#This Row],[Wypadki drogowe]])</f>
        <v>6.3492063492063489E-2</v>
      </c>
      <c r="G56" s="40">
        <f>(Tabela1[[#This Row],[Zatrzymani na gorącym uczynku]]/Tabela1[[#This Row],[Interwencje]])*1000</f>
        <v>35.353844271820911</v>
      </c>
      <c r="H56">
        <v>16349</v>
      </c>
      <c r="I56">
        <v>578</v>
      </c>
      <c r="J56">
        <v>482</v>
      </c>
      <c r="K56">
        <v>230</v>
      </c>
      <c r="L56">
        <v>63</v>
      </c>
      <c r="M56">
        <v>4</v>
      </c>
      <c r="N56">
        <v>66</v>
      </c>
    </row>
    <row r="57" spans="1:14" x14ac:dyDescent="0.3">
      <c r="A57" s="1">
        <v>45944</v>
      </c>
      <c r="B57" s="1" t="str">
        <f>TEXT(Tabela1[[#This Row],[Data]],"mmmm")</f>
        <v>październik</v>
      </c>
      <c r="C57" s="1" t="str">
        <f>TEXT(Tabela1[[#This Row],[Data]],"dddd")</f>
        <v>wtorek</v>
      </c>
      <c r="D57">
        <f>WEEKNUM(Tabela1[[#This Row],[Data]],2)</f>
        <v>42</v>
      </c>
      <c r="E57" t="str">
        <f>IF(WEEKDAY(Tabela1[[#This Row],[Data]],2)&gt;5,"TAK","NIE")</f>
        <v>NIE</v>
      </c>
      <c r="F57" s="2">
        <f>IF(Tabela1[[#This Row],[Wypadki drogowe]]=0,0,Tabela1[[#This Row],[Zabici w wypadkach]]/Tabela1[[#This Row],[Wypadki drogowe]])</f>
        <v>2.1739130434782608E-2</v>
      </c>
      <c r="G57" s="40">
        <f>(Tabela1[[#This Row],[Zatrzymani na gorącym uczynku]]/Tabela1[[#This Row],[Interwencje]])*1000</f>
        <v>35.252723458962045</v>
      </c>
      <c r="H57">
        <v>14779</v>
      </c>
      <c r="I57">
        <v>521</v>
      </c>
      <c r="J57">
        <v>393</v>
      </c>
      <c r="K57">
        <v>216</v>
      </c>
      <c r="L57">
        <v>46</v>
      </c>
      <c r="M57">
        <v>1</v>
      </c>
      <c r="N57">
        <v>55</v>
      </c>
    </row>
    <row r="58" spans="1:14" x14ac:dyDescent="0.3">
      <c r="A58" s="1">
        <v>45943</v>
      </c>
      <c r="B58" s="1" t="str">
        <f>TEXT(Tabela1[[#This Row],[Data]],"mmmm")</f>
        <v>październik</v>
      </c>
      <c r="C58" s="1" t="str">
        <f>TEXT(Tabela1[[#This Row],[Data]],"dddd")</f>
        <v>poniedziałek</v>
      </c>
      <c r="D58">
        <f>WEEKNUM(Tabela1[[#This Row],[Data]],2)</f>
        <v>42</v>
      </c>
      <c r="E58" t="str">
        <f>IF(WEEKDAY(Tabela1[[#This Row],[Data]],2)&gt;5,"TAK","NIE")</f>
        <v>NIE</v>
      </c>
      <c r="F58" s="2">
        <f>IF(Tabela1[[#This Row],[Wypadki drogowe]]=0,0,Tabela1[[#This Row],[Zabici w wypadkach]]/Tabela1[[#This Row],[Wypadki drogowe]])</f>
        <v>8.7499999999999994E-2</v>
      </c>
      <c r="G58" s="40">
        <f>(Tabela1[[#This Row],[Zatrzymani na gorącym uczynku]]/Tabela1[[#This Row],[Interwencje]])*1000</f>
        <v>48.836032388663973</v>
      </c>
      <c r="H58">
        <v>15808</v>
      </c>
      <c r="I58">
        <v>772</v>
      </c>
      <c r="J58">
        <v>436</v>
      </c>
      <c r="K58">
        <v>518</v>
      </c>
      <c r="L58">
        <v>80</v>
      </c>
      <c r="M58">
        <v>7</v>
      </c>
      <c r="N58">
        <v>85</v>
      </c>
    </row>
    <row r="59" spans="1:14" x14ac:dyDescent="0.3">
      <c r="A59" s="1">
        <v>45942</v>
      </c>
      <c r="B59" s="1" t="str">
        <f>TEXT(Tabela1[[#This Row],[Data]],"mmmm")</f>
        <v>październik</v>
      </c>
      <c r="C59" s="1" t="str">
        <f>TEXT(Tabela1[[#This Row],[Data]],"dddd")</f>
        <v>niedziela</v>
      </c>
      <c r="D59">
        <f>WEEKNUM(Tabela1[[#This Row],[Data]],2)</f>
        <v>41</v>
      </c>
      <c r="E59" t="str">
        <f>IF(WEEKDAY(Tabela1[[#This Row],[Data]],2)&gt;5,"TAK","NIE")</f>
        <v>TAK</v>
      </c>
      <c r="F59" s="2">
        <f>IF(Tabela1[[#This Row],[Wypadki drogowe]]=0,0,Tabela1[[#This Row],[Zabici w wypadkach]]/Tabela1[[#This Row],[Wypadki drogowe]])</f>
        <v>6.6666666666666666E-2</v>
      </c>
      <c r="G59" s="40">
        <f>(Tabela1[[#This Row],[Zatrzymani na gorącym uczynku]]/Tabela1[[#This Row],[Interwencje]])*1000</f>
        <v>39.649173673528566</v>
      </c>
      <c r="H59">
        <v>13796</v>
      </c>
      <c r="I59">
        <v>547</v>
      </c>
      <c r="J59">
        <v>240</v>
      </c>
      <c r="K59">
        <v>312</v>
      </c>
      <c r="L59">
        <v>45</v>
      </c>
      <c r="M59">
        <v>3</v>
      </c>
      <c r="N59">
        <v>55</v>
      </c>
    </row>
    <row r="60" spans="1:14" x14ac:dyDescent="0.3">
      <c r="A60" s="1">
        <v>45941</v>
      </c>
      <c r="B60" s="1" t="str">
        <f>TEXT(Tabela1[[#This Row],[Data]],"mmmm")</f>
        <v>październik</v>
      </c>
      <c r="C60" s="1" t="str">
        <f>TEXT(Tabela1[[#This Row],[Data]],"dddd")</f>
        <v>sobota</v>
      </c>
      <c r="D60">
        <f>WEEKNUM(Tabela1[[#This Row],[Data]],2)</f>
        <v>41</v>
      </c>
      <c r="E60" t="str">
        <f>IF(WEEKDAY(Tabela1[[#This Row],[Data]],2)&gt;5,"TAK","NIE")</f>
        <v>TAK</v>
      </c>
      <c r="F60" s="2">
        <f>IF(Tabela1[[#This Row],[Wypadki drogowe]]=0,0,Tabela1[[#This Row],[Zabici w wypadkach]]/Tabela1[[#This Row],[Wypadki drogowe]])</f>
        <v>7.407407407407407E-2</v>
      </c>
      <c r="G60" s="40">
        <f>(Tabela1[[#This Row],[Zatrzymani na gorącym uczynku]]/Tabela1[[#This Row],[Interwencje]])*1000</f>
        <v>37.619450828595625</v>
      </c>
      <c r="H60">
        <v>16534</v>
      </c>
      <c r="I60">
        <v>622</v>
      </c>
      <c r="J60">
        <v>271</v>
      </c>
      <c r="K60">
        <v>335</v>
      </c>
      <c r="L60">
        <v>54</v>
      </c>
      <c r="M60">
        <v>4</v>
      </c>
      <c r="N60">
        <v>71</v>
      </c>
    </row>
    <row r="61" spans="1:14" x14ac:dyDescent="0.3">
      <c r="A61" s="1">
        <v>45940</v>
      </c>
      <c r="B61" s="1" t="str">
        <f>TEXT(Tabela1[[#This Row],[Data]],"mmmm")</f>
        <v>październik</v>
      </c>
      <c r="C61" s="1" t="str">
        <f>TEXT(Tabela1[[#This Row],[Data]],"dddd")</f>
        <v>piątek</v>
      </c>
      <c r="D61">
        <f>WEEKNUM(Tabela1[[#This Row],[Data]],2)</f>
        <v>41</v>
      </c>
      <c r="E61" t="str">
        <f>IF(WEEKDAY(Tabela1[[#This Row],[Data]],2)&gt;5,"TAK","NIE")</f>
        <v>NIE</v>
      </c>
      <c r="F61" s="2">
        <f>IF(Tabela1[[#This Row],[Wypadki drogowe]]=0,0,Tabela1[[#This Row],[Zabici w wypadkach]]/Tabela1[[#This Row],[Wypadki drogowe]])</f>
        <v>0.11666666666666667</v>
      </c>
      <c r="G61" s="40">
        <f>(Tabela1[[#This Row],[Zatrzymani na gorącym uczynku]]/Tabela1[[#This Row],[Interwencje]])*1000</f>
        <v>34.125220759984046</v>
      </c>
      <c r="H61">
        <v>17553</v>
      </c>
      <c r="I61">
        <v>599</v>
      </c>
      <c r="J61">
        <v>411</v>
      </c>
      <c r="K61">
        <v>273</v>
      </c>
      <c r="L61">
        <v>60</v>
      </c>
      <c r="M61">
        <v>7</v>
      </c>
      <c r="N61">
        <v>69</v>
      </c>
    </row>
    <row r="62" spans="1:14" x14ac:dyDescent="0.3">
      <c r="A62" s="1">
        <v>45939</v>
      </c>
      <c r="B62" s="1" t="str">
        <f>TEXT(Tabela1[[#This Row],[Data]],"mmmm")</f>
        <v>październik</v>
      </c>
      <c r="C62" s="1" t="str">
        <f>TEXT(Tabela1[[#This Row],[Data]],"dddd")</f>
        <v>czwartek</v>
      </c>
      <c r="D62">
        <f>WEEKNUM(Tabela1[[#This Row],[Data]],2)</f>
        <v>41</v>
      </c>
      <c r="E62" t="str">
        <f>IF(WEEKDAY(Tabela1[[#This Row],[Data]],2)&gt;5,"TAK","NIE")</f>
        <v>NIE</v>
      </c>
      <c r="F62" s="2">
        <f>IF(Tabela1[[#This Row],[Wypadki drogowe]]=0,0,Tabela1[[#This Row],[Zabici w wypadkach]]/Tabela1[[#This Row],[Wypadki drogowe]])</f>
        <v>5.4545454545454543E-2</v>
      </c>
      <c r="G62" s="40">
        <f>(Tabela1[[#This Row],[Zatrzymani na gorącym uczynku]]/Tabela1[[#This Row],[Interwencje]])*1000</f>
        <v>38.023284617290066</v>
      </c>
      <c r="H62">
        <v>16148</v>
      </c>
      <c r="I62">
        <v>614</v>
      </c>
      <c r="J62">
        <v>442</v>
      </c>
      <c r="K62">
        <v>276</v>
      </c>
      <c r="L62">
        <v>55</v>
      </c>
      <c r="M62">
        <v>3</v>
      </c>
      <c r="N62">
        <v>61</v>
      </c>
    </row>
    <row r="63" spans="1:14" x14ac:dyDescent="0.3">
      <c r="A63" s="1">
        <v>45938</v>
      </c>
      <c r="B63" s="1" t="str">
        <f>TEXT(Tabela1[[#This Row],[Data]],"mmmm")</f>
        <v>październik</v>
      </c>
      <c r="C63" s="1" t="str">
        <f>TEXT(Tabela1[[#This Row],[Data]],"dddd")</f>
        <v>środa</v>
      </c>
      <c r="D63">
        <f>WEEKNUM(Tabela1[[#This Row],[Data]],2)</f>
        <v>41</v>
      </c>
      <c r="E63" t="str">
        <f>IF(WEEKDAY(Tabela1[[#This Row],[Data]],2)&gt;5,"TAK","NIE")</f>
        <v>NIE</v>
      </c>
      <c r="F63" s="2">
        <f>IF(Tabela1[[#This Row],[Wypadki drogowe]]=0,0,Tabela1[[#This Row],[Zabici w wypadkach]]/Tabela1[[#This Row],[Wypadki drogowe]])</f>
        <v>5.3571428571428568E-2</v>
      </c>
      <c r="G63" s="40">
        <f>(Tabela1[[#This Row],[Zatrzymani na gorącym uczynku]]/Tabela1[[#This Row],[Interwencje]])*1000</f>
        <v>38.777459407831898</v>
      </c>
      <c r="H63">
        <v>15705</v>
      </c>
      <c r="I63">
        <v>609</v>
      </c>
      <c r="J63">
        <v>440</v>
      </c>
      <c r="K63">
        <v>262</v>
      </c>
      <c r="L63">
        <v>56</v>
      </c>
      <c r="M63">
        <v>3</v>
      </c>
      <c r="N63">
        <v>59</v>
      </c>
    </row>
    <row r="64" spans="1:14" x14ac:dyDescent="0.3">
      <c r="A64" s="1">
        <v>45937</v>
      </c>
      <c r="B64" s="1" t="str">
        <f>TEXT(Tabela1[[#This Row],[Data]],"mmmm")</f>
        <v>październik</v>
      </c>
      <c r="C64" s="1" t="str">
        <f>TEXT(Tabela1[[#This Row],[Data]],"dddd")</f>
        <v>wtorek</v>
      </c>
      <c r="D64">
        <f>WEEKNUM(Tabela1[[#This Row],[Data]],2)</f>
        <v>41</v>
      </c>
      <c r="E64" t="str">
        <f>IF(WEEKDAY(Tabela1[[#This Row],[Data]],2)&gt;5,"TAK","NIE")</f>
        <v>NIE</v>
      </c>
      <c r="F64" s="2">
        <f>IF(Tabela1[[#This Row],[Wypadki drogowe]]=0,0,Tabela1[[#This Row],[Zabici w wypadkach]]/Tabela1[[#This Row],[Wypadki drogowe]])</f>
        <v>5.2631578947368418E-2</v>
      </c>
      <c r="G64" s="40">
        <f>(Tabela1[[#This Row],[Zatrzymani na gorącym uczynku]]/Tabela1[[#This Row],[Interwencje]])*1000</f>
        <v>35.420910823421174</v>
      </c>
      <c r="H64">
        <v>15217</v>
      </c>
      <c r="I64">
        <v>539</v>
      </c>
      <c r="J64">
        <v>414</v>
      </c>
      <c r="K64">
        <v>227</v>
      </c>
      <c r="L64">
        <v>57</v>
      </c>
      <c r="M64">
        <v>3</v>
      </c>
      <c r="N64">
        <v>70</v>
      </c>
    </row>
    <row r="65" spans="1:14" x14ac:dyDescent="0.3">
      <c r="A65" s="1">
        <v>45936</v>
      </c>
      <c r="B65" s="1" t="str">
        <f>TEXT(Tabela1[[#This Row],[Data]],"mmmm")</f>
        <v>październik</v>
      </c>
      <c r="C65" s="1" t="str">
        <f>TEXT(Tabela1[[#This Row],[Data]],"dddd")</f>
        <v>poniedziałek</v>
      </c>
      <c r="D65">
        <f>WEEKNUM(Tabela1[[#This Row],[Data]],2)</f>
        <v>41</v>
      </c>
      <c r="E65" t="str">
        <f>IF(WEEKDAY(Tabela1[[#This Row],[Data]],2)&gt;5,"TAK","NIE")</f>
        <v>NIE</v>
      </c>
      <c r="F65" s="2">
        <f>IF(Tabela1[[#This Row],[Wypadki drogowe]]=0,0,Tabela1[[#This Row],[Zabici w wypadkach]]/Tabela1[[#This Row],[Wypadki drogowe]])</f>
        <v>2.8169014084507043E-2</v>
      </c>
      <c r="G65" s="40">
        <f>(Tabela1[[#This Row],[Zatrzymani na gorącym uczynku]]/Tabela1[[#This Row],[Interwencje]])*1000</f>
        <v>32.655781406197931</v>
      </c>
      <c r="H65">
        <v>15005</v>
      </c>
      <c r="I65">
        <v>490</v>
      </c>
      <c r="J65">
        <v>320</v>
      </c>
      <c r="K65">
        <v>255</v>
      </c>
      <c r="L65">
        <v>71</v>
      </c>
      <c r="M65">
        <v>2</v>
      </c>
      <c r="N65">
        <v>77</v>
      </c>
    </row>
    <row r="66" spans="1:14" x14ac:dyDescent="0.3">
      <c r="A66" s="1">
        <v>45935</v>
      </c>
      <c r="B66" s="1" t="str">
        <f>TEXT(Tabela1[[#This Row],[Data]],"mmmm")</f>
        <v>październik</v>
      </c>
      <c r="C66" s="1" t="str">
        <f>TEXT(Tabela1[[#This Row],[Data]],"dddd")</f>
        <v>niedziela</v>
      </c>
      <c r="D66">
        <f>WEEKNUM(Tabela1[[#This Row],[Data]],2)</f>
        <v>40</v>
      </c>
      <c r="E66" t="str">
        <f>IF(WEEKDAY(Tabela1[[#This Row],[Data]],2)&gt;5,"TAK","NIE")</f>
        <v>TAK</v>
      </c>
      <c r="F66" s="2">
        <f>IF(Tabela1[[#This Row],[Wypadki drogowe]]=0,0,Tabela1[[#This Row],[Zabici w wypadkach]]/Tabela1[[#This Row],[Wypadki drogowe]])</f>
        <v>0.10638297872340426</v>
      </c>
      <c r="G66" s="40">
        <f>(Tabela1[[#This Row],[Zatrzymani na gorącym uczynku]]/Tabela1[[#This Row],[Interwencje]])*1000</f>
        <v>39.05639743790033</v>
      </c>
      <c r="H66">
        <v>12802</v>
      </c>
      <c r="I66">
        <v>500</v>
      </c>
      <c r="J66">
        <v>197</v>
      </c>
      <c r="K66">
        <v>304</v>
      </c>
      <c r="L66">
        <v>47</v>
      </c>
      <c r="M66">
        <v>5</v>
      </c>
      <c r="N66">
        <v>64</v>
      </c>
    </row>
    <row r="67" spans="1:14" x14ac:dyDescent="0.3">
      <c r="A67" s="1">
        <v>45934</v>
      </c>
      <c r="B67" s="1" t="str">
        <f>TEXT(Tabela1[[#This Row],[Data]],"mmmm")</f>
        <v>październik</v>
      </c>
      <c r="C67" s="1" t="str">
        <f>TEXT(Tabela1[[#This Row],[Data]],"dddd")</f>
        <v>sobota</v>
      </c>
      <c r="D67">
        <f>WEEKNUM(Tabela1[[#This Row],[Data]],2)</f>
        <v>40</v>
      </c>
      <c r="E67" t="str">
        <f>IF(WEEKDAY(Tabela1[[#This Row],[Data]],2)&gt;5,"TAK","NIE")</f>
        <v>TAK</v>
      </c>
      <c r="F67" s="2">
        <f>IF(Tabela1[[#This Row],[Wypadki drogowe]]=0,0,Tabela1[[#This Row],[Zabici w wypadkach]]/Tabela1[[#This Row],[Wypadki drogowe]])</f>
        <v>3.9215686274509803E-2</v>
      </c>
      <c r="G67" s="40">
        <f>(Tabela1[[#This Row],[Zatrzymani na gorącym uczynku]]/Tabela1[[#This Row],[Interwencje]])*1000</f>
        <v>35.536280665415241</v>
      </c>
      <c r="H67">
        <v>15449</v>
      </c>
      <c r="I67">
        <v>549</v>
      </c>
      <c r="J67">
        <v>239</v>
      </c>
      <c r="K67">
        <v>276</v>
      </c>
      <c r="L67">
        <v>51</v>
      </c>
      <c r="M67">
        <v>2</v>
      </c>
      <c r="N67">
        <v>56</v>
      </c>
    </row>
    <row r="68" spans="1:14" x14ac:dyDescent="0.3">
      <c r="A68" s="1">
        <v>45933</v>
      </c>
      <c r="B68" s="1" t="str">
        <f>TEXT(Tabela1[[#This Row],[Data]],"mmmm")</f>
        <v>październik</v>
      </c>
      <c r="C68" s="1" t="str">
        <f>TEXT(Tabela1[[#This Row],[Data]],"dddd")</f>
        <v>piątek</v>
      </c>
      <c r="D68">
        <f>WEEKNUM(Tabela1[[#This Row],[Data]],2)</f>
        <v>40</v>
      </c>
      <c r="E68" t="str">
        <f>IF(WEEKDAY(Tabela1[[#This Row],[Data]],2)&gt;5,"TAK","NIE")</f>
        <v>NIE</v>
      </c>
      <c r="F68" s="2">
        <f>IF(Tabela1[[#This Row],[Wypadki drogowe]]=0,0,Tabela1[[#This Row],[Zabici w wypadkach]]/Tabela1[[#This Row],[Wypadki drogowe]])</f>
        <v>7.2727272727272724E-2</v>
      </c>
      <c r="G68" s="40">
        <f>(Tabela1[[#This Row],[Zatrzymani na gorącym uczynku]]/Tabela1[[#This Row],[Interwencje]])*1000</f>
        <v>32.965064198268138</v>
      </c>
      <c r="H68">
        <v>16745</v>
      </c>
      <c r="I68">
        <v>552</v>
      </c>
      <c r="J68">
        <v>402</v>
      </c>
      <c r="K68">
        <v>256</v>
      </c>
      <c r="L68">
        <v>55</v>
      </c>
      <c r="M68">
        <v>4</v>
      </c>
      <c r="N68">
        <v>67</v>
      </c>
    </row>
    <row r="69" spans="1:14" x14ac:dyDescent="0.3">
      <c r="A69" s="1">
        <v>45932</v>
      </c>
      <c r="B69" s="1" t="str">
        <f>TEXT(Tabela1[[#This Row],[Data]],"mmmm")</f>
        <v>październik</v>
      </c>
      <c r="C69" s="1" t="str">
        <f>TEXT(Tabela1[[#This Row],[Data]],"dddd")</f>
        <v>czwartek</v>
      </c>
      <c r="D69">
        <f>WEEKNUM(Tabela1[[#This Row],[Data]],2)</f>
        <v>40</v>
      </c>
      <c r="E69" t="str">
        <f>IF(WEEKDAY(Tabela1[[#This Row],[Data]],2)&gt;5,"TAK","NIE")</f>
        <v>NIE</v>
      </c>
      <c r="F69" s="2">
        <f>IF(Tabela1[[#This Row],[Wypadki drogowe]]=0,0,Tabela1[[#This Row],[Zabici w wypadkach]]/Tabela1[[#This Row],[Wypadki drogowe]])</f>
        <v>2.3809523809523808E-2</v>
      </c>
      <c r="G69" s="40">
        <f>(Tabela1[[#This Row],[Zatrzymani na gorącym uczynku]]/Tabela1[[#This Row],[Interwencje]])*1000</f>
        <v>37.949314714248771</v>
      </c>
      <c r="H69">
        <v>15468</v>
      </c>
      <c r="I69">
        <v>587</v>
      </c>
      <c r="J69">
        <v>399</v>
      </c>
      <c r="K69">
        <v>297</v>
      </c>
      <c r="L69">
        <v>42</v>
      </c>
      <c r="M69">
        <v>1</v>
      </c>
      <c r="N69">
        <v>44</v>
      </c>
    </row>
    <row r="70" spans="1:14" x14ac:dyDescent="0.3">
      <c r="A70" s="1">
        <v>45931</v>
      </c>
      <c r="B70" s="1" t="str">
        <f>TEXT(Tabela1[[#This Row],[Data]],"mmmm")</f>
        <v>październik</v>
      </c>
      <c r="C70" s="1" t="str">
        <f>TEXT(Tabela1[[#This Row],[Data]],"dddd")</f>
        <v>środa</v>
      </c>
      <c r="D70">
        <f>WEEKNUM(Tabela1[[#This Row],[Data]],2)</f>
        <v>40</v>
      </c>
      <c r="E70" t="str">
        <f>IF(WEEKDAY(Tabela1[[#This Row],[Data]],2)&gt;5,"TAK","NIE")</f>
        <v>NIE</v>
      </c>
      <c r="F70" s="2">
        <f>IF(Tabela1[[#This Row],[Wypadki drogowe]]=0,0,Tabela1[[#This Row],[Zabici w wypadkach]]/Tabela1[[#This Row],[Wypadki drogowe]])</f>
        <v>1.9230769230769232E-2</v>
      </c>
      <c r="G70" s="40">
        <f>(Tabela1[[#This Row],[Zatrzymani na gorącym uczynku]]/Tabela1[[#This Row],[Interwencje]])*1000</f>
        <v>37.540624792730647</v>
      </c>
      <c r="H70">
        <v>15077</v>
      </c>
      <c r="I70">
        <v>566</v>
      </c>
      <c r="J70">
        <v>423</v>
      </c>
      <c r="K70">
        <v>241</v>
      </c>
      <c r="L70">
        <v>52</v>
      </c>
      <c r="M70">
        <v>1</v>
      </c>
      <c r="N70">
        <v>58</v>
      </c>
    </row>
    <row r="71" spans="1:14" x14ac:dyDescent="0.3">
      <c r="A71" s="1">
        <v>45930</v>
      </c>
      <c r="B71" s="1" t="str">
        <f>TEXT(Tabela1[[#This Row],[Data]],"mmmm")</f>
        <v>wrzesień</v>
      </c>
      <c r="C71" s="1" t="str">
        <f>TEXT(Tabela1[[#This Row],[Data]],"dddd")</f>
        <v>wtorek</v>
      </c>
      <c r="D71">
        <f>WEEKNUM(Tabela1[[#This Row],[Data]],2)</f>
        <v>40</v>
      </c>
      <c r="E71" t="str">
        <f>IF(WEEKDAY(Tabela1[[#This Row],[Data]],2)&gt;5,"TAK","NIE")</f>
        <v>NIE</v>
      </c>
      <c r="F71" s="2">
        <f>IF(Tabela1[[#This Row],[Wypadki drogowe]]=0,0,Tabela1[[#This Row],[Zabici w wypadkach]]/Tabela1[[#This Row],[Wypadki drogowe]])</f>
        <v>1.8867924528301886E-2</v>
      </c>
      <c r="G71" s="40">
        <f>(Tabela1[[#This Row],[Zatrzymani na gorącym uczynku]]/Tabela1[[#This Row],[Interwencje]])*1000</f>
        <v>35.390465048259728</v>
      </c>
      <c r="H71">
        <v>13676</v>
      </c>
      <c r="I71">
        <v>484</v>
      </c>
      <c r="J71">
        <v>448</v>
      </c>
      <c r="K71">
        <v>170</v>
      </c>
      <c r="L71">
        <v>53</v>
      </c>
      <c r="M71">
        <v>1</v>
      </c>
      <c r="N71">
        <v>67</v>
      </c>
    </row>
    <row r="72" spans="1:14" x14ac:dyDescent="0.3">
      <c r="A72" s="1">
        <v>45929</v>
      </c>
      <c r="B72" s="1" t="str">
        <f>TEXT(Tabela1[[#This Row],[Data]],"mmmm")</f>
        <v>wrzesień</v>
      </c>
      <c r="C72" s="1" t="str">
        <f>TEXT(Tabela1[[#This Row],[Data]],"dddd")</f>
        <v>poniedziałek</v>
      </c>
      <c r="D72">
        <f>WEEKNUM(Tabela1[[#This Row],[Data]],2)</f>
        <v>40</v>
      </c>
      <c r="E72" t="str">
        <f>IF(WEEKDAY(Tabela1[[#This Row],[Data]],2)&gt;5,"TAK","NIE")</f>
        <v>NIE</v>
      </c>
      <c r="F72" s="2">
        <f>IF(Tabela1[[#This Row],[Wypadki drogowe]]=0,0,Tabela1[[#This Row],[Zabici w wypadkach]]/Tabela1[[#This Row],[Wypadki drogowe]])</f>
        <v>3.125E-2</v>
      </c>
      <c r="G72" s="40">
        <f>(Tabela1[[#This Row],[Zatrzymani na gorącym uczynku]]/Tabela1[[#This Row],[Interwencje]])*1000</f>
        <v>36.049517072507143</v>
      </c>
      <c r="H72">
        <v>14702</v>
      </c>
      <c r="I72">
        <v>530</v>
      </c>
      <c r="J72">
        <v>373</v>
      </c>
      <c r="K72">
        <v>281</v>
      </c>
      <c r="L72">
        <v>64</v>
      </c>
      <c r="M72">
        <v>2</v>
      </c>
      <c r="N72">
        <v>68</v>
      </c>
    </row>
    <row r="73" spans="1:14" x14ac:dyDescent="0.3">
      <c r="A73" s="1">
        <v>45928</v>
      </c>
      <c r="B73" s="1" t="str">
        <f>TEXT(Tabela1[[#This Row],[Data]],"mmmm")</f>
        <v>wrzesień</v>
      </c>
      <c r="C73" s="1" t="str">
        <f>TEXT(Tabela1[[#This Row],[Data]],"dddd")</f>
        <v>niedziela</v>
      </c>
      <c r="D73">
        <f>WEEKNUM(Tabela1[[#This Row],[Data]],2)</f>
        <v>39</v>
      </c>
      <c r="E73" t="str">
        <f>IF(WEEKDAY(Tabela1[[#This Row],[Data]],2)&gt;5,"TAK","NIE")</f>
        <v>TAK</v>
      </c>
      <c r="F73" s="2">
        <f>IF(Tabela1[[#This Row],[Wypadki drogowe]]=0,0,Tabela1[[#This Row],[Zabici w wypadkach]]/Tabela1[[#This Row],[Wypadki drogowe]])</f>
        <v>3.5714285714285712E-2</v>
      </c>
      <c r="G73" s="40">
        <f>(Tabela1[[#This Row],[Zatrzymani na gorącym uczynku]]/Tabela1[[#This Row],[Interwencje]])*1000</f>
        <v>38.673188627331093</v>
      </c>
      <c r="H73">
        <v>13084</v>
      </c>
      <c r="I73">
        <v>506</v>
      </c>
      <c r="J73">
        <v>181</v>
      </c>
      <c r="K73">
        <v>291</v>
      </c>
      <c r="L73">
        <v>56</v>
      </c>
      <c r="M73">
        <v>2</v>
      </c>
      <c r="N73">
        <v>64</v>
      </c>
    </row>
    <row r="74" spans="1:14" x14ac:dyDescent="0.3">
      <c r="A74" s="1">
        <v>45927</v>
      </c>
      <c r="B74" s="1" t="str">
        <f>TEXT(Tabela1[[#This Row],[Data]],"mmmm")</f>
        <v>wrzesień</v>
      </c>
      <c r="C74" s="1" t="str">
        <f>TEXT(Tabela1[[#This Row],[Data]],"dddd")</f>
        <v>sobota</v>
      </c>
      <c r="D74">
        <f>WEEKNUM(Tabela1[[#This Row],[Data]],2)</f>
        <v>39</v>
      </c>
      <c r="E74" t="str">
        <f>IF(WEEKDAY(Tabela1[[#This Row],[Data]],2)&gt;5,"TAK","NIE")</f>
        <v>TAK</v>
      </c>
      <c r="F74" s="2">
        <f>IF(Tabela1[[#This Row],[Wypadki drogowe]]=0,0,Tabela1[[#This Row],[Zabici w wypadkach]]/Tabela1[[#This Row],[Wypadki drogowe]])</f>
        <v>8.3333333333333329E-2</v>
      </c>
      <c r="G74" s="40">
        <f>(Tabela1[[#This Row],[Zatrzymani na gorącym uczynku]]/Tabela1[[#This Row],[Interwencje]])*1000</f>
        <v>36.034935564649118</v>
      </c>
      <c r="H74">
        <v>16373</v>
      </c>
      <c r="I74">
        <v>590</v>
      </c>
      <c r="J74">
        <v>238</v>
      </c>
      <c r="K74">
        <v>337</v>
      </c>
      <c r="L74">
        <v>72</v>
      </c>
      <c r="M74">
        <v>6</v>
      </c>
      <c r="N74">
        <v>90</v>
      </c>
    </row>
    <row r="75" spans="1:14" x14ac:dyDescent="0.3">
      <c r="A75" s="1">
        <v>45926</v>
      </c>
      <c r="B75" s="1" t="str">
        <f>TEXT(Tabela1[[#This Row],[Data]],"mmmm")</f>
        <v>wrzesień</v>
      </c>
      <c r="C75" s="1" t="str">
        <f>TEXT(Tabela1[[#This Row],[Data]],"dddd")</f>
        <v>piątek</v>
      </c>
      <c r="D75">
        <f>WEEKNUM(Tabela1[[#This Row],[Data]],2)</f>
        <v>39</v>
      </c>
      <c r="E75" t="str">
        <f>IF(WEEKDAY(Tabela1[[#This Row],[Data]],2)&gt;5,"TAK","NIE")</f>
        <v>NIE</v>
      </c>
      <c r="F75" s="2">
        <f>IF(Tabela1[[#This Row],[Wypadki drogowe]]=0,0,Tabela1[[#This Row],[Zabici w wypadkach]]/Tabela1[[#This Row],[Wypadki drogowe]])</f>
        <v>2.7777777777777776E-2</v>
      </c>
      <c r="G75" s="40">
        <f>(Tabela1[[#This Row],[Zatrzymani na gorącym uczynku]]/Tabela1[[#This Row],[Interwencje]])*1000</f>
        <v>30.987135081642752</v>
      </c>
      <c r="H75">
        <v>16168</v>
      </c>
      <c r="I75">
        <v>501</v>
      </c>
      <c r="J75">
        <v>407</v>
      </c>
      <c r="K75">
        <v>236</v>
      </c>
      <c r="L75">
        <v>72</v>
      </c>
      <c r="M75">
        <v>2</v>
      </c>
      <c r="N75">
        <v>79</v>
      </c>
    </row>
    <row r="76" spans="1:14" x14ac:dyDescent="0.3">
      <c r="A76" s="1">
        <v>45925</v>
      </c>
      <c r="B76" s="1" t="str">
        <f>TEXT(Tabela1[[#This Row],[Data]],"mmmm")</f>
        <v>wrzesień</v>
      </c>
      <c r="C76" s="1" t="str">
        <f>TEXT(Tabela1[[#This Row],[Data]],"dddd")</f>
        <v>czwartek</v>
      </c>
      <c r="D76">
        <f>WEEKNUM(Tabela1[[#This Row],[Data]],2)</f>
        <v>39</v>
      </c>
      <c r="E76" t="str">
        <f>IF(WEEKDAY(Tabela1[[#This Row],[Data]],2)&gt;5,"TAK","NIE")</f>
        <v>NIE</v>
      </c>
      <c r="F76" s="2">
        <f>IF(Tabela1[[#This Row],[Wypadki drogowe]]=0,0,Tabela1[[#This Row],[Zabici w wypadkach]]/Tabela1[[#This Row],[Wypadki drogowe]])</f>
        <v>6.3291139240506333E-2</v>
      </c>
      <c r="G76" s="40">
        <f>(Tabela1[[#This Row],[Zatrzymani na gorącym uczynku]]/Tabela1[[#This Row],[Interwencje]])*1000</f>
        <v>33.37354242058705</v>
      </c>
      <c r="H76">
        <v>14922</v>
      </c>
      <c r="I76">
        <v>498</v>
      </c>
      <c r="J76">
        <v>458</v>
      </c>
      <c r="K76">
        <v>220</v>
      </c>
      <c r="L76">
        <v>79</v>
      </c>
      <c r="M76">
        <v>5</v>
      </c>
      <c r="N76">
        <v>85</v>
      </c>
    </row>
    <row r="77" spans="1:14" x14ac:dyDescent="0.3">
      <c r="A77" s="1">
        <v>45924</v>
      </c>
      <c r="B77" s="1" t="str">
        <f>TEXT(Tabela1[[#This Row],[Data]],"mmmm")</f>
        <v>wrzesień</v>
      </c>
      <c r="C77" s="1" t="str">
        <f>TEXT(Tabela1[[#This Row],[Data]],"dddd")</f>
        <v>środa</v>
      </c>
      <c r="D77">
        <f>WEEKNUM(Tabela1[[#This Row],[Data]],2)</f>
        <v>39</v>
      </c>
      <c r="E77" t="str">
        <f>IF(WEEKDAY(Tabela1[[#This Row],[Data]],2)&gt;5,"TAK","NIE")</f>
        <v>NIE</v>
      </c>
      <c r="F77" s="2">
        <f>IF(Tabela1[[#This Row],[Wypadki drogowe]]=0,0,Tabela1[[#This Row],[Zabici w wypadkach]]/Tabela1[[#This Row],[Wypadki drogowe]])</f>
        <v>3.1746031746031744E-2</v>
      </c>
      <c r="G77" s="40">
        <f>(Tabela1[[#This Row],[Zatrzymani na gorącym uczynku]]/Tabela1[[#This Row],[Interwencje]])*1000</f>
        <v>31.853088480801336</v>
      </c>
      <c r="H77">
        <v>14975</v>
      </c>
      <c r="I77">
        <v>477</v>
      </c>
      <c r="J77">
        <v>455</v>
      </c>
      <c r="K77">
        <v>229</v>
      </c>
      <c r="L77">
        <v>63</v>
      </c>
      <c r="M77">
        <v>2</v>
      </c>
      <c r="N77">
        <v>69</v>
      </c>
    </row>
    <row r="78" spans="1:14" x14ac:dyDescent="0.3">
      <c r="A78" s="1">
        <v>45923</v>
      </c>
      <c r="B78" s="1" t="str">
        <f>TEXT(Tabela1[[#This Row],[Data]],"mmmm")</f>
        <v>wrzesień</v>
      </c>
      <c r="C78" s="1" t="str">
        <f>TEXT(Tabela1[[#This Row],[Data]],"dddd")</f>
        <v>wtorek</v>
      </c>
      <c r="D78">
        <f>WEEKNUM(Tabela1[[#This Row],[Data]],2)</f>
        <v>39</v>
      </c>
      <c r="E78" t="str">
        <f>IF(WEEKDAY(Tabela1[[#This Row],[Data]],2)&gt;5,"TAK","NIE")</f>
        <v>NIE</v>
      </c>
      <c r="F78" s="2">
        <f>IF(Tabela1[[#This Row],[Wypadki drogowe]]=0,0,Tabela1[[#This Row],[Zabici w wypadkach]]/Tabela1[[#This Row],[Wypadki drogowe]])</f>
        <v>8.3333333333333329E-2</v>
      </c>
      <c r="G78" s="40">
        <f>(Tabela1[[#This Row],[Zatrzymani na gorącym uczynku]]/Tabela1[[#This Row],[Interwencje]])*1000</f>
        <v>33.944648216072025</v>
      </c>
      <c r="H78">
        <v>14995</v>
      </c>
      <c r="I78">
        <v>509</v>
      </c>
      <c r="J78">
        <v>474</v>
      </c>
      <c r="K78">
        <v>207</v>
      </c>
      <c r="L78">
        <v>72</v>
      </c>
      <c r="M78">
        <v>6</v>
      </c>
      <c r="N78">
        <v>83</v>
      </c>
    </row>
    <row r="79" spans="1:14" x14ac:dyDescent="0.3">
      <c r="A79" s="1">
        <v>45922</v>
      </c>
      <c r="B79" s="1" t="str">
        <f>TEXT(Tabela1[[#This Row],[Data]],"mmmm")</f>
        <v>wrzesień</v>
      </c>
      <c r="C79" s="1" t="str">
        <f>TEXT(Tabela1[[#This Row],[Data]],"dddd")</f>
        <v>poniedziałek</v>
      </c>
      <c r="D79">
        <f>WEEKNUM(Tabela1[[#This Row],[Data]],2)</f>
        <v>39</v>
      </c>
      <c r="E79" t="str">
        <f>IF(WEEKDAY(Tabela1[[#This Row],[Data]],2)&gt;5,"TAK","NIE")</f>
        <v>NIE</v>
      </c>
      <c r="F79" s="2">
        <f>IF(Tabela1[[#This Row],[Wypadki drogowe]]=0,0,Tabela1[[#This Row],[Zabici w wypadkach]]/Tabela1[[#This Row],[Wypadki drogowe]])</f>
        <v>4.8192771084337352E-2</v>
      </c>
      <c r="G79" s="40">
        <f>(Tabela1[[#This Row],[Zatrzymani na gorącym uczynku]]/Tabela1[[#This Row],[Interwencje]])*1000</f>
        <v>41.197336486402392</v>
      </c>
      <c r="H79">
        <v>16069</v>
      </c>
      <c r="I79">
        <v>662</v>
      </c>
      <c r="J79">
        <v>345</v>
      </c>
      <c r="K79">
        <v>426</v>
      </c>
      <c r="L79">
        <v>83</v>
      </c>
      <c r="M79">
        <v>4</v>
      </c>
      <c r="N79">
        <v>91</v>
      </c>
    </row>
    <row r="80" spans="1:14" x14ac:dyDescent="0.3">
      <c r="A80" s="1">
        <v>45921</v>
      </c>
      <c r="B80" s="1" t="str">
        <f>TEXT(Tabela1[[#This Row],[Data]],"mmmm")</f>
        <v>wrzesień</v>
      </c>
      <c r="C80" s="1" t="str">
        <f>TEXT(Tabela1[[#This Row],[Data]],"dddd")</f>
        <v>niedziela</v>
      </c>
      <c r="D80">
        <f>WEEKNUM(Tabela1[[#This Row],[Data]],2)</f>
        <v>38</v>
      </c>
      <c r="E80" t="str">
        <f>IF(WEEKDAY(Tabela1[[#This Row],[Data]],2)&gt;5,"TAK","NIE")</f>
        <v>TAK</v>
      </c>
      <c r="F80" s="2">
        <f>IF(Tabela1[[#This Row],[Wypadki drogowe]]=0,0,Tabela1[[#This Row],[Zabici w wypadkach]]/Tabela1[[#This Row],[Wypadki drogowe]])</f>
        <v>0.06</v>
      </c>
      <c r="G80" s="40">
        <f>(Tabela1[[#This Row],[Zatrzymani na gorącym uczynku]]/Tabela1[[#This Row],[Interwencje]])*1000</f>
        <v>37.371688487307146</v>
      </c>
      <c r="H80">
        <v>16269</v>
      </c>
      <c r="I80">
        <v>608</v>
      </c>
      <c r="J80">
        <v>188</v>
      </c>
      <c r="K80">
        <v>365</v>
      </c>
      <c r="L80">
        <v>100</v>
      </c>
      <c r="M80">
        <v>6</v>
      </c>
      <c r="N80">
        <v>110</v>
      </c>
    </row>
    <row r="81" spans="1:14" x14ac:dyDescent="0.3">
      <c r="A81" s="1">
        <v>45920</v>
      </c>
      <c r="B81" s="1" t="str">
        <f>TEXT(Tabela1[[#This Row],[Data]],"mmmm")</f>
        <v>wrzesień</v>
      </c>
      <c r="C81" s="1" t="str">
        <f>TEXT(Tabela1[[#This Row],[Data]],"dddd")</f>
        <v>sobota</v>
      </c>
      <c r="D81">
        <f>WEEKNUM(Tabela1[[#This Row],[Data]],2)</f>
        <v>38</v>
      </c>
      <c r="E81" t="str">
        <f>IF(WEEKDAY(Tabela1[[#This Row],[Data]],2)&gt;5,"TAK","NIE")</f>
        <v>TAK</v>
      </c>
      <c r="F81" s="2">
        <f>IF(Tabela1[[#This Row],[Wypadki drogowe]]=0,0,Tabela1[[#This Row],[Zabici w wypadkach]]/Tabela1[[#This Row],[Wypadki drogowe]])</f>
        <v>0.11235955056179775</v>
      </c>
      <c r="G81" s="40">
        <f>(Tabela1[[#This Row],[Zatrzymani na gorącym uczynku]]/Tabela1[[#This Row],[Interwencje]])*1000</f>
        <v>39.278004317582152</v>
      </c>
      <c r="H81">
        <v>16676</v>
      </c>
      <c r="I81">
        <v>655</v>
      </c>
      <c r="J81">
        <v>208</v>
      </c>
      <c r="K81">
        <v>390</v>
      </c>
      <c r="L81">
        <v>89</v>
      </c>
      <c r="M81">
        <v>10</v>
      </c>
      <c r="N81">
        <v>91</v>
      </c>
    </row>
    <row r="82" spans="1:14" x14ac:dyDescent="0.3">
      <c r="A82" s="1">
        <v>45919</v>
      </c>
      <c r="B82" s="1" t="str">
        <f>TEXT(Tabela1[[#This Row],[Data]],"mmmm")</f>
        <v>wrzesień</v>
      </c>
      <c r="C82" s="1" t="str">
        <f>TEXT(Tabela1[[#This Row],[Data]],"dddd")</f>
        <v>piątek</v>
      </c>
      <c r="D82">
        <f>WEEKNUM(Tabela1[[#This Row],[Data]],2)</f>
        <v>38</v>
      </c>
      <c r="E82" t="str">
        <f>IF(WEEKDAY(Tabela1[[#This Row],[Data]],2)&gt;5,"TAK","NIE")</f>
        <v>NIE</v>
      </c>
      <c r="F82" s="2">
        <f>IF(Tabela1[[#This Row],[Wypadki drogowe]]=0,0,Tabela1[[#This Row],[Zabici w wypadkach]]/Tabela1[[#This Row],[Wypadki drogowe]])</f>
        <v>7.8947368421052627E-2</v>
      </c>
      <c r="G82" s="40">
        <f>(Tabela1[[#This Row],[Zatrzymani na gorącym uczynku]]/Tabela1[[#This Row],[Interwencje]])*1000</f>
        <v>32.543190036159103</v>
      </c>
      <c r="H82">
        <v>17423</v>
      </c>
      <c r="I82">
        <v>567</v>
      </c>
      <c r="J82">
        <v>383</v>
      </c>
      <c r="K82">
        <v>256</v>
      </c>
      <c r="L82">
        <v>76</v>
      </c>
      <c r="M82">
        <v>6</v>
      </c>
      <c r="N82">
        <v>81</v>
      </c>
    </row>
    <row r="83" spans="1:14" x14ac:dyDescent="0.3">
      <c r="A83" s="1">
        <v>45918</v>
      </c>
      <c r="B83" s="1" t="str">
        <f>TEXT(Tabela1[[#This Row],[Data]],"mmmm")</f>
        <v>wrzesień</v>
      </c>
      <c r="C83" s="1" t="str">
        <f>TEXT(Tabela1[[#This Row],[Data]],"dddd")</f>
        <v>czwartek</v>
      </c>
      <c r="D83">
        <f>WEEKNUM(Tabela1[[#This Row],[Data]],2)</f>
        <v>38</v>
      </c>
      <c r="E83" t="str">
        <f>IF(WEEKDAY(Tabela1[[#This Row],[Data]],2)&gt;5,"TAK","NIE")</f>
        <v>NIE</v>
      </c>
      <c r="F83" s="2">
        <f>IF(Tabela1[[#This Row],[Wypadki drogowe]]=0,0,Tabela1[[#This Row],[Zabici w wypadkach]]/Tabela1[[#This Row],[Wypadki drogowe]])</f>
        <v>5.7971014492753624E-2</v>
      </c>
      <c r="G83" s="40">
        <f>(Tabela1[[#This Row],[Zatrzymani na gorącym uczynku]]/Tabela1[[#This Row],[Interwencje]])*1000</f>
        <v>32.441661923733633</v>
      </c>
      <c r="H83">
        <v>15813</v>
      </c>
      <c r="I83">
        <v>513</v>
      </c>
      <c r="J83">
        <v>396</v>
      </c>
      <c r="K83">
        <v>175</v>
      </c>
      <c r="L83">
        <v>69</v>
      </c>
      <c r="M83">
        <v>4</v>
      </c>
      <c r="N83">
        <v>75</v>
      </c>
    </row>
    <row r="84" spans="1:14" x14ac:dyDescent="0.3">
      <c r="A84" s="1">
        <v>45917</v>
      </c>
      <c r="B84" s="1" t="str">
        <f>TEXT(Tabela1[[#This Row],[Data]],"mmmm")</f>
        <v>wrzesień</v>
      </c>
      <c r="C84" s="1" t="str">
        <f>TEXT(Tabela1[[#This Row],[Data]],"dddd")</f>
        <v>środa</v>
      </c>
      <c r="D84">
        <f>WEEKNUM(Tabela1[[#This Row],[Data]],2)</f>
        <v>38</v>
      </c>
      <c r="E84" t="str">
        <f>IF(WEEKDAY(Tabela1[[#This Row],[Data]],2)&gt;5,"TAK","NIE")</f>
        <v>NIE</v>
      </c>
      <c r="F84" s="2">
        <f>IF(Tabela1[[#This Row],[Wypadki drogowe]]=0,0,Tabela1[[#This Row],[Zabici w wypadkach]]/Tabela1[[#This Row],[Wypadki drogowe]])</f>
        <v>6.5217391304347824E-2</v>
      </c>
      <c r="G84" s="40">
        <f>(Tabela1[[#This Row],[Zatrzymani na gorącym uczynku]]/Tabela1[[#This Row],[Interwencje]])*1000</f>
        <v>32.597054886211517</v>
      </c>
      <c r="H84">
        <v>14940</v>
      </c>
      <c r="I84">
        <v>487</v>
      </c>
      <c r="J84">
        <v>348</v>
      </c>
      <c r="K84">
        <v>201</v>
      </c>
      <c r="L84">
        <v>46</v>
      </c>
      <c r="M84">
        <v>3</v>
      </c>
      <c r="N84">
        <v>48</v>
      </c>
    </row>
    <row r="85" spans="1:14" x14ac:dyDescent="0.3">
      <c r="A85" s="1">
        <v>45916</v>
      </c>
      <c r="B85" s="1" t="str">
        <f>TEXT(Tabela1[[#This Row],[Data]],"mmmm")</f>
        <v>wrzesień</v>
      </c>
      <c r="C85" s="1" t="str">
        <f>TEXT(Tabela1[[#This Row],[Data]],"dddd")</f>
        <v>wtorek</v>
      </c>
      <c r="D85">
        <f>WEEKNUM(Tabela1[[#This Row],[Data]],2)</f>
        <v>38</v>
      </c>
      <c r="E85" t="str">
        <f>IF(WEEKDAY(Tabela1[[#This Row],[Data]],2)&gt;5,"TAK","NIE")</f>
        <v>NIE</v>
      </c>
      <c r="F85" s="2">
        <f>IF(Tabela1[[#This Row],[Wypadki drogowe]]=0,0,Tabela1[[#This Row],[Zabici w wypadkach]]/Tabela1[[#This Row],[Wypadki drogowe]])</f>
        <v>6.25E-2</v>
      </c>
      <c r="G85" s="40">
        <f>(Tabela1[[#This Row],[Zatrzymani na gorącym uczynku]]/Tabela1[[#This Row],[Interwencje]])*1000</f>
        <v>33.264586521189543</v>
      </c>
      <c r="H85">
        <v>15031</v>
      </c>
      <c r="I85">
        <v>500</v>
      </c>
      <c r="J85">
        <v>400</v>
      </c>
      <c r="K85">
        <v>228</v>
      </c>
      <c r="L85">
        <v>64</v>
      </c>
      <c r="M85">
        <v>4</v>
      </c>
      <c r="N85">
        <v>71</v>
      </c>
    </row>
    <row r="86" spans="1:14" x14ac:dyDescent="0.3">
      <c r="A86" s="1">
        <v>45915</v>
      </c>
      <c r="B86" s="1" t="str">
        <f>TEXT(Tabela1[[#This Row],[Data]],"mmmm")</f>
        <v>wrzesień</v>
      </c>
      <c r="C86" s="1" t="str">
        <f>TEXT(Tabela1[[#This Row],[Data]],"dddd")</f>
        <v>poniedziałek</v>
      </c>
      <c r="D86">
        <f>WEEKNUM(Tabela1[[#This Row],[Data]],2)</f>
        <v>38</v>
      </c>
      <c r="E86" t="str">
        <f>IF(WEEKDAY(Tabela1[[#This Row],[Data]],2)&gt;5,"TAK","NIE")</f>
        <v>NIE</v>
      </c>
      <c r="F86" s="2">
        <f>IF(Tabela1[[#This Row],[Wypadki drogowe]]=0,0,Tabela1[[#This Row],[Zabici w wypadkach]]/Tabela1[[#This Row],[Wypadki drogowe]])</f>
        <v>0.1111111111111111</v>
      </c>
      <c r="G86" s="40">
        <f>(Tabela1[[#This Row],[Zatrzymani na gorącym uczynku]]/Tabela1[[#This Row],[Interwencje]])*1000</f>
        <v>37.752866898595542</v>
      </c>
      <c r="H86">
        <v>15522</v>
      </c>
      <c r="I86">
        <v>586</v>
      </c>
      <c r="J86">
        <v>358</v>
      </c>
      <c r="K86">
        <v>349</v>
      </c>
      <c r="L86">
        <v>72</v>
      </c>
      <c r="M86">
        <v>8</v>
      </c>
      <c r="N86">
        <v>77</v>
      </c>
    </row>
    <row r="87" spans="1:14" x14ac:dyDescent="0.3">
      <c r="A87" s="1">
        <v>45914</v>
      </c>
      <c r="B87" s="1" t="str">
        <f>TEXT(Tabela1[[#This Row],[Data]],"mmmm")</f>
        <v>wrzesień</v>
      </c>
      <c r="C87" s="1" t="str">
        <f>TEXT(Tabela1[[#This Row],[Data]],"dddd")</f>
        <v>niedziela</v>
      </c>
      <c r="D87">
        <f>WEEKNUM(Tabela1[[#This Row],[Data]],2)</f>
        <v>37</v>
      </c>
      <c r="E87" t="str">
        <f>IF(WEEKDAY(Tabela1[[#This Row],[Data]],2)&gt;5,"TAK","NIE")</f>
        <v>TAK</v>
      </c>
      <c r="F87" s="2">
        <f>IF(Tabela1[[#This Row],[Wypadki drogowe]]=0,0,Tabela1[[#This Row],[Zabici w wypadkach]]/Tabela1[[#This Row],[Wypadki drogowe]])</f>
        <v>9.0909090909090912E-2</v>
      </c>
      <c r="G87" s="40">
        <f>(Tabela1[[#This Row],[Zatrzymani na gorącym uczynku]]/Tabela1[[#This Row],[Interwencje]])*1000</f>
        <v>36.99934578759904</v>
      </c>
      <c r="H87">
        <v>13757</v>
      </c>
      <c r="I87">
        <v>509</v>
      </c>
      <c r="J87">
        <v>219</v>
      </c>
      <c r="K87">
        <v>290</v>
      </c>
      <c r="L87">
        <v>55</v>
      </c>
      <c r="M87">
        <v>5</v>
      </c>
      <c r="N87">
        <v>76</v>
      </c>
    </row>
    <row r="88" spans="1:14" x14ac:dyDescent="0.3">
      <c r="A88" s="1">
        <v>45913</v>
      </c>
      <c r="B88" s="1" t="str">
        <f>TEXT(Tabela1[[#This Row],[Data]],"mmmm")</f>
        <v>wrzesień</v>
      </c>
      <c r="C88" s="1" t="str">
        <f>TEXT(Tabela1[[#This Row],[Data]],"dddd")</f>
        <v>sobota</v>
      </c>
      <c r="D88">
        <f>WEEKNUM(Tabela1[[#This Row],[Data]],2)</f>
        <v>37</v>
      </c>
      <c r="E88" t="str">
        <f>IF(WEEKDAY(Tabela1[[#This Row],[Data]],2)&gt;5,"TAK","NIE")</f>
        <v>TAK</v>
      </c>
      <c r="F88" s="2">
        <f>IF(Tabela1[[#This Row],[Wypadki drogowe]]=0,0,Tabela1[[#This Row],[Zabici w wypadkach]]/Tabela1[[#This Row],[Wypadki drogowe]])</f>
        <v>5.7692307692307696E-2</v>
      </c>
      <c r="G88" s="40">
        <f>(Tabela1[[#This Row],[Zatrzymani na gorącym uczynku]]/Tabela1[[#This Row],[Interwencje]])*1000</f>
        <v>35.221350438119231</v>
      </c>
      <c r="H88">
        <v>17461</v>
      </c>
      <c r="I88">
        <v>615</v>
      </c>
      <c r="J88">
        <v>258</v>
      </c>
      <c r="K88">
        <v>351</v>
      </c>
      <c r="L88">
        <v>52</v>
      </c>
      <c r="M88">
        <v>3</v>
      </c>
      <c r="N88">
        <v>60</v>
      </c>
    </row>
    <row r="89" spans="1:14" x14ac:dyDescent="0.3">
      <c r="A89" s="1">
        <v>45912</v>
      </c>
      <c r="B89" s="1" t="str">
        <f>TEXT(Tabela1[[#This Row],[Data]],"mmmm")</f>
        <v>wrzesień</v>
      </c>
      <c r="C89" s="1" t="str">
        <f>TEXT(Tabela1[[#This Row],[Data]],"dddd")</f>
        <v>piątek</v>
      </c>
      <c r="D89">
        <f>WEEKNUM(Tabela1[[#This Row],[Data]],2)</f>
        <v>37</v>
      </c>
      <c r="E89" t="str">
        <f>IF(WEEKDAY(Tabela1[[#This Row],[Data]],2)&gt;5,"TAK","NIE")</f>
        <v>NIE</v>
      </c>
      <c r="F89" s="2">
        <f>IF(Tabela1[[#This Row],[Wypadki drogowe]]=0,0,Tabela1[[#This Row],[Zabici w wypadkach]]/Tabela1[[#This Row],[Wypadki drogowe]])</f>
        <v>0.11494252873563218</v>
      </c>
      <c r="G89" s="40">
        <f>(Tabela1[[#This Row],[Zatrzymani na gorącym uczynku]]/Tabela1[[#This Row],[Interwencje]])*1000</f>
        <v>36.822235596651531</v>
      </c>
      <c r="H89">
        <v>18277</v>
      </c>
      <c r="I89">
        <v>673</v>
      </c>
      <c r="J89">
        <v>425</v>
      </c>
      <c r="K89">
        <v>293</v>
      </c>
      <c r="L89">
        <v>87</v>
      </c>
      <c r="M89">
        <v>10</v>
      </c>
      <c r="N89">
        <v>89</v>
      </c>
    </row>
    <row r="90" spans="1:14" x14ac:dyDescent="0.3">
      <c r="A90" s="1">
        <v>45911</v>
      </c>
      <c r="B90" s="1" t="str">
        <f>TEXT(Tabela1[[#This Row],[Data]],"mmmm")</f>
        <v>wrzesień</v>
      </c>
      <c r="C90" s="1" t="str">
        <f>TEXT(Tabela1[[#This Row],[Data]],"dddd")</f>
        <v>czwartek</v>
      </c>
      <c r="D90">
        <f>WEEKNUM(Tabela1[[#This Row],[Data]],2)</f>
        <v>37</v>
      </c>
      <c r="E90" t="str">
        <f>IF(WEEKDAY(Tabela1[[#This Row],[Data]],2)&gt;5,"TAK","NIE")</f>
        <v>NIE</v>
      </c>
      <c r="F90" s="2">
        <f>IF(Tabela1[[#This Row],[Wypadki drogowe]]=0,0,Tabela1[[#This Row],[Zabici w wypadkach]]/Tabela1[[#This Row],[Wypadki drogowe]])</f>
        <v>2.8169014084507043E-2</v>
      </c>
      <c r="G90" s="40">
        <f>(Tabela1[[#This Row],[Zatrzymani na gorącym uczynku]]/Tabela1[[#This Row],[Interwencje]])*1000</f>
        <v>33.391477697483175</v>
      </c>
      <c r="H90">
        <v>16052</v>
      </c>
      <c r="I90">
        <v>536</v>
      </c>
      <c r="J90">
        <v>440</v>
      </c>
      <c r="K90">
        <v>214</v>
      </c>
      <c r="L90">
        <v>71</v>
      </c>
      <c r="M90">
        <v>2</v>
      </c>
      <c r="N90">
        <v>95</v>
      </c>
    </row>
    <row r="91" spans="1:14" x14ac:dyDescent="0.3">
      <c r="A91" s="1">
        <v>45910</v>
      </c>
      <c r="B91" s="1" t="str">
        <f>TEXT(Tabela1[[#This Row],[Data]],"mmmm")</f>
        <v>wrzesień</v>
      </c>
      <c r="C91" s="1" t="str">
        <f>TEXT(Tabela1[[#This Row],[Data]],"dddd")</f>
        <v>środa</v>
      </c>
      <c r="D91">
        <f>WEEKNUM(Tabela1[[#This Row],[Data]],2)</f>
        <v>37</v>
      </c>
      <c r="E91" t="str">
        <f>IF(WEEKDAY(Tabela1[[#This Row],[Data]],2)&gt;5,"TAK","NIE")</f>
        <v>NIE</v>
      </c>
      <c r="F91" s="2">
        <f>IF(Tabela1[[#This Row],[Wypadki drogowe]]=0,0,Tabela1[[#This Row],[Zabici w wypadkach]]/Tabela1[[#This Row],[Wypadki drogowe]])</f>
        <v>2.6666666666666668E-2</v>
      </c>
      <c r="G91" s="40">
        <f>(Tabela1[[#This Row],[Zatrzymani na gorącym uczynku]]/Tabela1[[#This Row],[Interwencje]])*1000</f>
        <v>32.07592503604036</v>
      </c>
      <c r="H91">
        <v>16648</v>
      </c>
      <c r="I91">
        <v>534</v>
      </c>
      <c r="J91">
        <v>438</v>
      </c>
      <c r="K91">
        <v>242</v>
      </c>
      <c r="L91">
        <v>75</v>
      </c>
      <c r="M91">
        <v>2</v>
      </c>
      <c r="N91">
        <v>88</v>
      </c>
    </row>
    <row r="92" spans="1:14" x14ac:dyDescent="0.3">
      <c r="A92" s="1">
        <v>45909</v>
      </c>
      <c r="B92" s="1" t="str">
        <f>TEXT(Tabela1[[#This Row],[Data]],"mmmm")</f>
        <v>wrzesień</v>
      </c>
      <c r="C92" s="1" t="str">
        <f>TEXT(Tabela1[[#This Row],[Data]],"dddd")</f>
        <v>wtorek</v>
      </c>
      <c r="D92">
        <f>WEEKNUM(Tabela1[[#This Row],[Data]],2)</f>
        <v>37</v>
      </c>
      <c r="E92" t="str">
        <f>IF(WEEKDAY(Tabela1[[#This Row],[Data]],2)&gt;5,"TAK","NIE")</f>
        <v>NIE</v>
      </c>
      <c r="F92" s="2">
        <f>IF(Tabela1[[#This Row],[Wypadki drogowe]]=0,0,Tabela1[[#This Row],[Zabici w wypadkach]]/Tabela1[[#This Row],[Wypadki drogowe]])</f>
        <v>5.8823529411764705E-2</v>
      </c>
      <c r="G92" s="40">
        <f>(Tabela1[[#This Row],[Zatrzymani na gorącym uczynku]]/Tabela1[[#This Row],[Interwencje]])*1000</f>
        <v>35.256410256410255</v>
      </c>
      <c r="H92">
        <v>15912</v>
      </c>
      <c r="I92">
        <v>561</v>
      </c>
      <c r="J92">
        <v>399</v>
      </c>
      <c r="K92">
        <v>238</v>
      </c>
      <c r="L92">
        <v>51</v>
      </c>
      <c r="M92">
        <v>3</v>
      </c>
      <c r="N92">
        <v>49</v>
      </c>
    </row>
    <row r="93" spans="1:14" x14ac:dyDescent="0.3">
      <c r="A93" s="1">
        <v>45908</v>
      </c>
      <c r="B93" s="1" t="str">
        <f>TEXT(Tabela1[[#This Row],[Data]],"mmmm")</f>
        <v>wrzesień</v>
      </c>
      <c r="C93" s="1" t="str">
        <f>TEXT(Tabela1[[#This Row],[Data]],"dddd")</f>
        <v>poniedziałek</v>
      </c>
      <c r="D93">
        <f>WEEKNUM(Tabela1[[#This Row],[Data]],2)</f>
        <v>37</v>
      </c>
      <c r="E93" t="str">
        <f>IF(WEEKDAY(Tabela1[[#This Row],[Data]],2)&gt;5,"TAK","NIE")</f>
        <v>NIE</v>
      </c>
      <c r="F93" s="2">
        <f>IF(Tabela1[[#This Row],[Wypadki drogowe]]=0,0,Tabela1[[#This Row],[Zabici w wypadkach]]/Tabela1[[#This Row],[Wypadki drogowe]])</f>
        <v>6.8965517241379309E-2</v>
      </c>
      <c r="G93" s="40">
        <f>(Tabela1[[#This Row],[Zatrzymani na gorącym uczynku]]/Tabela1[[#This Row],[Interwencje]])*1000</f>
        <v>40.138190954773869</v>
      </c>
      <c r="H93">
        <v>15920</v>
      </c>
      <c r="I93">
        <v>639</v>
      </c>
      <c r="J93">
        <v>304</v>
      </c>
      <c r="K93">
        <v>411</v>
      </c>
      <c r="L93">
        <v>58</v>
      </c>
      <c r="M93">
        <v>4</v>
      </c>
      <c r="N93">
        <v>62</v>
      </c>
    </row>
    <row r="94" spans="1:14" x14ac:dyDescent="0.3">
      <c r="A94" s="1">
        <v>45907</v>
      </c>
      <c r="B94" s="1" t="str">
        <f>TEXT(Tabela1[[#This Row],[Data]],"mmmm")</f>
        <v>wrzesień</v>
      </c>
      <c r="C94" s="1" t="str">
        <f>TEXT(Tabela1[[#This Row],[Data]],"dddd")</f>
        <v>niedziela</v>
      </c>
      <c r="D94">
        <f>WEEKNUM(Tabela1[[#This Row],[Data]],2)</f>
        <v>36</v>
      </c>
      <c r="E94" t="str">
        <f>IF(WEEKDAY(Tabela1[[#This Row],[Data]],2)&gt;5,"TAK","NIE")</f>
        <v>TAK</v>
      </c>
      <c r="F94" s="2">
        <f>IF(Tabela1[[#This Row],[Wypadki drogowe]]=0,0,Tabela1[[#This Row],[Zabici w wypadkach]]/Tabela1[[#This Row],[Wypadki drogowe]])</f>
        <v>0.125</v>
      </c>
      <c r="G94" s="40">
        <f>(Tabela1[[#This Row],[Zatrzymani na gorącym uczynku]]/Tabela1[[#This Row],[Interwencje]])*1000</f>
        <v>39.66864224137931</v>
      </c>
      <c r="H94">
        <v>14848</v>
      </c>
      <c r="I94">
        <v>589</v>
      </c>
      <c r="J94">
        <v>198</v>
      </c>
      <c r="K94">
        <v>342</v>
      </c>
      <c r="L94">
        <v>48</v>
      </c>
      <c r="M94">
        <v>6</v>
      </c>
      <c r="N94">
        <v>57</v>
      </c>
    </row>
    <row r="95" spans="1:14" x14ac:dyDescent="0.3">
      <c r="A95" s="1">
        <v>45906</v>
      </c>
      <c r="B95" s="1" t="str">
        <f>TEXT(Tabela1[[#This Row],[Data]],"mmmm")</f>
        <v>wrzesień</v>
      </c>
      <c r="C95" s="1" t="str">
        <f>TEXT(Tabela1[[#This Row],[Data]],"dddd")</f>
        <v>sobota</v>
      </c>
      <c r="D95">
        <f>WEEKNUM(Tabela1[[#This Row],[Data]],2)</f>
        <v>36</v>
      </c>
      <c r="E95" t="str">
        <f>IF(WEEKDAY(Tabela1[[#This Row],[Data]],2)&gt;5,"TAK","NIE")</f>
        <v>TAK</v>
      </c>
      <c r="F95" s="2">
        <f>IF(Tabela1[[#This Row],[Wypadki drogowe]]=0,0,Tabela1[[#This Row],[Zabici w wypadkach]]/Tabela1[[#This Row],[Wypadki drogowe]])</f>
        <v>0.12280701754385964</v>
      </c>
      <c r="G95" s="40">
        <f>(Tabela1[[#This Row],[Zatrzymani na gorącym uczynku]]/Tabela1[[#This Row],[Interwencje]])*1000</f>
        <v>30.829949093405023</v>
      </c>
      <c r="H95">
        <v>17483</v>
      </c>
      <c r="I95">
        <v>539</v>
      </c>
      <c r="J95">
        <v>246</v>
      </c>
      <c r="K95">
        <v>304</v>
      </c>
      <c r="L95">
        <v>57</v>
      </c>
      <c r="M95">
        <v>7</v>
      </c>
      <c r="N95">
        <v>65</v>
      </c>
    </row>
    <row r="96" spans="1:14" x14ac:dyDescent="0.3">
      <c r="A96" s="1">
        <v>45905</v>
      </c>
      <c r="B96" s="1" t="str">
        <f>TEXT(Tabela1[[#This Row],[Data]],"mmmm")</f>
        <v>wrzesień</v>
      </c>
      <c r="C96" s="1" t="str">
        <f>TEXT(Tabela1[[#This Row],[Data]],"dddd")</f>
        <v>piątek</v>
      </c>
      <c r="D96">
        <f>WEEKNUM(Tabela1[[#This Row],[Data]],2)</f>
        <v>36</v>
      </c>
      <c r="E96" t="str">
        <f>IF(WEEKDAY(Tabela1[[#This Row],[Data]],2)&gt;5,"TAK","NIE")</f>
        <v>NIE</v>
      </c>
      <c r="F96" s="2">
        <f>IF(Tabela1[[#This Row],[Wypadki drogowe]]=0,0,Tabela1[[#This Row],[Zabici w wypadkach]]/Tabela1[[#This Row],[Wypadki drogowe]])</f>
        <v>6.3157894736842107E-2</v>
      </c>
      <c r="G96" s="40">
        <f>(Tabela1[[#This Row],[Zatrzymani na gorącym uczynku]]/Tabela1[[#This Row],[Interwencje]])*1000</f>
        <v>31.067545128287534</v>
      </c>
      <c r="H96">
        <v>18669</v>
      </c>
      <c r="I96">
        <v>580</v>
      </c>
      <c r="J96">
        <v>435</v>
      </c>
      <c r="K96">
        <v>290</v>
      </c>
      <c r="L96">
        <v>95</v>
      </c>
      <c r="M96">
        <v>6</v>
      </c>
      <c r="N96">
        <v>108</v>
      </c>
    </row>
    <row r="97" spans="1:14" x14ac:dyDescent="0.3">
      <c r="A97" s="1">
        <v>45904</v>
      </c>
      <c r="B97" s="1" t="str">
        <f>TEXT(Tabela1[[#This Row],[Data]],"mmmm")</f>
        <v>wrzesień</v>
      </c>
      <c r="C97" s="1" t="str">
        <f>TEXT(Tabela1[[#This Row],[Data]],"dddd")</f>
        <v>czwartek</v>
      </c>
      <c r="D97">
        <f>WEEKNUM(Tabela1[[#This Row],[Data]],2)</f>
        <v>36</v>
      </c>
      <c r="E97" t="str">
        <f>IF(WEEKDAY(Tabela1[[#This Row],[Data]],2)&gt;5,"TAK","NIE")</f>
        <v>NIE</v>
      </c>
      <c r="F97" s="2">
        <f>IF(Tabela1[[#This Row],[Wypadki drogowe]]=0,0,Tabela1[[#This Row],[Zabici w wypadkach]]/Tabela1[[#This Row],[Wypadki drogowe]])</f>
        <v>2.4691358024691357E-2</v>
      </c>
      <c r="G97" s="40">
        <f>(Tabela1[[#This Row],[Zatrzymani na gorącym uczynku]]/Tabela1[[#This Row],[Interwencje]])*1000</f>
        <v>38.884243220642695</v>
      </c>
      <c r="H97">
        <v>16742</v>
      </c>
      <c r="I97">
        <v>651</v>
      </c>
      <c r="J97">
        <v>383</v>
      </c>
      <c r="K97">
        <v>268</v>
      </c>
      <c r="L97">
        <v>81</v>
      </c>
      <c r="M97">
        <v>2</v>
      </c>
      <c r="N97">
        <v>95</v>
      </c>
    </row>
    <row r="98" spans="1:14" x14ac:dyDescent="0.3">
      <c r="A98" s="1">
        <v>45903</v>
      </c>
      <c r="B98" s="1" t="str">
        <f>TEXT(Tabela1[[#This Row],[Data]],"mmmm")</f>
        <v>wrzesień</v>
      </c>
      <c r="C98" s="1" t="str">
        <f>TEXT(Tabela1[[#This Row],[Data]],"dddd")</f>
        <v>środa</v>
      </c>
      <c r="D98">
        <f>WEEKNUM(Tabela1[[#This Row],[Data]],2)</f>
        <v>36</v>
      </c>
      <c r="E98" t="str">
        <f>IF(WEEKDAY(Tabela1[[#This Row],[Data]],2)&gt;5,"TAK","NIE")</f>
        <v>NIE</v>
      </c>
      <c r="F98" s="2">
        <f>IF(Tabela1[[#This Row],[Wypadki drogowe]]=0,0,Tabela1[[#This Row],[Zabici w wypadkach]]/Tabela1[[#This Row],[Wypadki drogowe]])</f>
        <v>8.5365853658536592E-2</v>
      </c>
      <c r="G98" s="40">
        <f>(Tabela1[[#This Row],[Zatrzymani na gorącym uczynku]]/Tabela1[[#This Row],[Interwencje]])*1000</f>
        <v>36.88499479198579</v>
      </c>
      <c r="H98">
        <v>16321</v>
      </c>
      <c r="I98">
        <v>602</v>
      </c>
      <c r="J98">
        <v>442</v>
      </c>
      <c r="K98">
        <v>246</v>
      </c>
      <c r="L98">
        <v>82</v>
      </c>
      <c r="M98">
        <v>7</v>
      </c>
      <c r="N98">
        <v>88</v>
      </c>
    </row>
    <row r="99" spans="1:14" x14ac:dyDescent="0.3">
      <c r="A99" s="1">
        <v>45902</v>
      </c>
      <c r="B99" s="1" t="str">
        <f>TEXT(Tabela1[[#This Row],[Data]],"mmmm")</f>
        <v>wrzesień</v>
      </c>
      <c r="C99" s="1" t="str">
        <f>TEXT(Tabela1[[#This Row],[Data]],"dddd")</f>
        <v>wtorek</v>
      </c>
      <c r="D99">
        <f>WEEKNUM(Tabela1[[#This Row],[Data]],2)</f>
        <v>36</v>
      </c>
      <c r="E99" t="str">
        <f>IF(WEEKDAY(Tabela1[[#This Row],[Data]],2)&gt;5,"TAK","NIE")</f>
        <v>NIE</v>
      </c>
      <c r="F99" s="2">
        <f>IF(Tabela1[[#This Row],[Wypadki drogowe]]=0,0,Tabela1[[#This Row],[Zabici w wypadkach]]/Tabela1[[#This Row],[Wypadki drogowe]])</f>
        <v>5.6338028169014086E-2</v>
      </c>
      <c r="G99" s="40">
        <f>(Tabela1[[#This Row],[Zatrzymani na gorącym uczynku]]/Tabela1[[#This Row],[Interwencje]])*1000</f>
        <v>39.377618192698982</v>
      </c>
      <c r="H99">
        <v>16710</v>
      </c>
      <c r="I99">
        <v>658</v>
      </c>
      <c r="J99">
        <v>428</v>
      </c>
      <c r="K99">
        <v>348</v>
      </c>
      <c r="L99">
        <v>71</v>
      </c>
      <c r="M99">
        <v>4</v>
      </c>
      <c r="N99">
        <v>81</v>
      </c>
    </row>
    <row r="100" spans="1:14" x14ac:dyDescent="0.3">
      <c r="A100" s="1">
        <v>45901</v>
      </c>
      <c r="B100" s="1" t="str">
        <f>TEXT(Tabela1[[#This Row],[Data]],"mmmm")</f>
        <v>wrzesień</v>
      </c>
      <c r="C100" s="1" t="str">
        <f>TEXT(Tabela1[[#This Row],[Data]],"dddd")</f>
        <v>poniedziałek</v>
      </c>
      <c r="D100">
        <f>WEEKNUM(Tabela1[[#This Row],[Data]],2)</f>
        <v>36</v>
      </c>
      <c r="E100" t="str">
        <f>IF(WEEKDAY(Tabela1[[#This Row],[Data]],2)&gt;5,"TAK","NIE")</f>
        <v>NIE</v>
      </c>
      <c r="F100" s="2">
        <f>IF(Tabela1[[#This Row],[Wypadki drogowe]]=0,0,Tabela1[[#This Row],[Zabici w wypadkach]]/Tabela1[[#This Row],[Wypadki drogowe]])</f>
        <v>4.7619047619047616E-2</v>
      </c>
      <c r="G100" s="40">
        <f>(Tabela1[[#This Row],[Zatrzymani na gorącym uczynku]]/Tabela1[[#This Row],[Interwencje]])*1000</f>
        <v>38.491516277954318</v>
      </c>
      <c r="H100">
        <v>16679</v>
      </c>
      <c r="I100">
        <v>642</v>
      </c>
      <c r="J100">
        <v>308</v>
      </c>
      <c r="K100">
        <v>409</v>
      </c>
      <c r="L100">
        <v>63</v>
      </c>
      <c r="M100">
        <v>3</v>
      </c>
      <c r="N100">
        <v>73</v>
      </c>
    </row>
    <row r="101" spans="1:14" x14ac:dyDescent="0.3">
      <c r="A101" s="1">
        <v>45900</v>
      </c>
      <c r="B101" s="1" t="str">
        <f>TEXT(Tabela1[[#This Row],[Data]],"mmmm")</f>
        <v>sierpień</v>
      </c>
      <c r="C101" s="1" t="str">
        <f>TEXT(Tabela1[[#This Row],[Data]],"dddd")</f>
        <v>niedziela</v>
      </c>
      <c r="D101">
        <f>WEEKNUM(Tabela1[[#This Row],[Data]],2)</f>
        <v>35</v>
      </c>
      <c r="E101" t="str">
        <f>IF(WEEKDAY(Tabela1[[#This Row],[Data]],2)&gt;5,"TAK","NIE")</f>
        <v>TAK</v>
      </c>
      <c r="F101" s="2">
        <f>IF(Tabela1[[#This Row],[Wypadki drogowe]]=0,0,Tabela1[[#This Row],[Zabici w wypadkach]]/Tabela1[[#This Row],[Wypadki drogowe]])</f>
        <v>9.2307692307692313E-2</v>
      </c>
      <c r="G101" s="40">
        <f>(Tabela1[[#This Row],[Zatrzymani na gorącym uczynku]]/Tabela1[[#This Row],[Interwencje]])*1000</f>
        <v>37.525354969574039</v>
      </c>
      <c r="H101">
        <v>16762</v>
      </c>
      <c r="I101">
        <v>629</v>
      </c>
      <c r="J101">
        <v>201</v>
      </c>
      <c r="K101">
        <v>368</v>
      </c>
      <c r="L101">
        <v>65</v>
      </c>
      <c r="M101">
        <v>6</v>
      </c>
      <c r="N101">
        <v>78</v>
      </c>
    </row>
    <row r="102" spans="1:14" x14ac:dyDescent="0.3">
      <c r="A102" s="1">
        <v>45899</v>
      </c>
      <c r="B102" s="1" t="str">
        <f>TEXT(Tabela1[[#This Row],[Data]],"mmmm")</f>
        <v>sierpień</v>
      </c>
      <c r="C102" s="1" t="str">
        <f>TEXT(Tabela1[[#This Row],[Data]],"dddd")</f>
        <v>sobota</v>
      </c>
      <c r="D102">
        <f>WEEKNUM(Tabela1[[#This Row],[Data]],2)</f>
        <v>35</v>
      </c>
      <c r="E102" t="str">
        <f>IF(WEEKDAY(Tabela1[[#This Row],[Data]],2)&gt;5,"TAK","NIE")</f>
        <v>TAK</v>
      </c>
      <c r="F102" s="2">
        <f>IF(Tabela1[[#This Row],[Wypadki drogowe]]=0,0,Tabela1[[#This Row],[Zabici w wypadkach]]/Tabela1[[#This Row],[Wypadki drogowe]])</f>
        <v>0.12307692307692308</v>
      </c>
      <c r="G102" s="40">
        <f>(Tabela1[[#This Row],[Zatrzymani na gorącym uczynku]]/Tabela1[[#This Row],[Interwencje]])*1000</f>
        <v>32.415345049292753</v>
      </c>
      <c r="H102">
        <v>18664</v>
      </c>
      <c r="I102">
        <v>605</v>
      </c>
      <c r="J102">
        <v>231</v>
      </c>
      <c r="K102">
        <v>379</v>
      </c>
      <c r="L102">
        <v>65</v>
      </c>
      <c r="M102">
        <v>8</v>
      </c>
      <c r="N102">
        <v>82</v>
      </c>
    </row>
    <row r="103" spans="1:14" x14ac:dyDescent="0.3">
      <c r="A103" s="1">
        <v>45898</v>
      </c>
      <c r="B103" s="1" t="str">
        <f>TEXT(Tabela1[[#This Row],[Data]],"mmmm")</f>
        <v>sierpień</v>
      </c>
      <c r="C103" s="1" t="str">
        <f>TEXT(Tabela1[[#This Row],[Data]],"dddd")</f>
        <v>piątek</v>
      </c>
      <c r="D103">
        <f>WEEKNUM(Tabela1[[#This Row],[Data]],2)</f>
        <v>35</v>
      </c>
      <c r="E103" t="str">
        <f>IF(WEEKDAY(Tabela1[[#This Row],[Data]],2)&gt;5,"TAK","NIE")</f>
        <v>NIE</v>
      </c>
      <c r="F103" s="2">
        <f>IF(Tabela1[[#This Row],[Wypadki drogowe]]=0,0,Tabela1[[#This Row],[Zabici w wypadkach]]/Tabela1[[#This Row],[Wypadki drogowe]])</f>
        <v>6.8493150684931503E-2</v>
      </c>
      <c r="G103" s="40">
        <f>(Tabela1[[#This Row],[Zatrzymani na gorącym uczynku]]/Tabela1[[#This Row],[Interwencje]])*1000</f>
        <v>27.879595690325445</v>
      </c>
      <c r="H103">
        <v>18006</v>
      </c>
      <c r="I103">
        <v>502</v>
      </c>
      <c r="J103">
        <v>431</v>
      </c>
      <c r="K103">
        <v>286</v>
      </c>
      <c r="L103">
        <v>73</v>
      </c>
      <c r="M103">
        <v>5</v>
      </c>
      <c r="N103">
        <v>84</v>
      </c>
    </row>
    <row r="104" spans="1:14" x14ac:dyDescent="0.3">
      <c r="A104" s="1">
        <v>45897</v>
      </c>
      <c r="B104" s="1" t="str">
        <f>TEXT(Tabela1[[#This Row],[Data]],"mmmm")</f>
        <v>sierpień</v>
      </c>
      <c r="C104" s="1" t="str">
        <f>TEXT(Tabela1[[#This Row],[Data]],"dddd")</f>
        <v>czwartek</v>
      </c>
      <c r="D104">
        <f>WEEKNUM(Tabela1[[#This Row],[Data]],2)</f>
        <v>35</v>
      </c>
      <c r="E104" t="str">
        <f>IF(WEEKDAY(Tabela1[[#This Row],[Data]],2)&gt;5,"TAK","NIE")</f>
        <v>NIE</v>
      </c>
      <c r="F104" s="2">
        <f>IF(Tabela1[[#This Row],[Wypadki drogowe]]=0,0,Tabela1[[#This Row],[Zabici w wypadkach]]/Tabela1[[#This Row],[Wypadki drogowe]])</f>
        <v>2.8985507246376812E-2</v>
      </c>
      <c r="G104" s="40">
        <f>(Tabela1[[#This Row],[Zatrzymani na gorącym uczynku]]/Tabela1[[#This Row],[Interwencje]])*1000</f>
        <v>29.729240788759572</v>
      </c>
      <c r="H104">
        <v>16583</v>
      </c>
      <c r="I104">
        <v>493</v>
      </c>
      <c r="J104">
        <v>429</v>
      </c>
      <c r="K104">
        <v>210</v>
      </c>
      <c r="L104">
        <v>69</v>
      </c>
      <c r="M104">
        <v>2</v>
      </c>
      <c r="N104">
        <v>79</v>
      </c>
    </row>
    <row r="105" spans="1:14" x14ac:dyDescent="0.3">
      <c r="A105" s="1">
        <v>45896</v>
      </c>
      <c r="B105" s="1" t="str">
        <f>TEXT(Tabela1[[#This Row],[Data]],"mmmm")</f>
        <v>sierpień</v>
      </c>
      <c r="C105" s="1" t="str">
        <f>TEXT(Tabela1[[#This Row],[Data]],"dddd")</f>
        <v>środa</v>
      </c>
      <c r="D105">
        <f>WEEKNUM(Tabela1[[#This Row],[Data]],2)</f>
        <v>35</v>
      </c>
      <c r="E105" t="str">
        <f>IF(WEEKDAY(Tabela1[[#This Row],[Data]],2)&gt;5,"TAK","NIE")</f>
        <v>NIE</v>
      </c>
      <c r="F105" s="2">
        <f>IF(Tabela1[[#This Row],[Wypadki drogowe]]=0,0,Tabela1[[#This Row],[Zabici w wypadkach]]/Tabela1[[#This Row],[Wypadki drogowe]])</f>
        <v>1.5873015873015872E-2</v>
      </c>
      <c r="G105" s="40">
        <f>(Tabela1[[#This Row],[Zatrzymani na gorącym uczynku]]/Tabela1[[#This Row],[Interwencje]])*1000</f>
        <v>31.673319808913032</v>
      </c>
      <c r="H105">
        <v>15281</v>
      </c>
      <c r="I105">
        <v>484</v>
      </c>
      <c r="J105">
        <v>440</v>
      </c>
      <c r="K105">
        <v>235</v>
      </c>
      <c r="L105">
        <v>63</v>
      </c>
      <c r="M105">
        <v>1</v>
      </c>
      <c r="N105">
        <v>66</v>
      </c>
    </row>
    <row r="106" spans="1:14" x14ac:dyDescent="0.3">
      <c r="A106" s="1">
        <v>45895</v>
      </c>
      <c r="B106" s="1" t="str">
        <f>TEXT(Tabela1[[#This Row],[Data]],"mmmm")</f>
        <v>sierpień</v>
      </c>
      <c r="C106" s="1" t="str">
        <f>TEXT(Tabela1[[#This Row],[Data]],"dddd")</f>
        <v>wtorek</v>
      </c>
      <c r="D106">
        <f>WEEKNUM(Tabela1[[#This Row],[Data]],2)</f>
        <v>35</v>
      </c>
      <c r="E106" t="str">
        <f>IF(WEEKDAY(Tabela1[[#This Row],[Data]],2)&gt;5,"TAK","NIE")</f>
        <v>NIE</v>
      </c>
      <c r="F106" s="2">
        <f>IF(Tabela1[[#This Row],[Wypadki drogowe]]=0,0,Tabela1[[#This Row],[Zabici w wypadkach]]/Tabela1[[#This Row],[Wypadki drogowe]])</f>
        <v>0.05</v>
      </c>
      <c r="G106" s="40">
        <f>(Tabela1[[#This Row],[Zatrzymani na gorącym uczynku]]/Tabela1[[#This Row],[Interwencje]])*1000</f>
        <v>35.316946959896505</v>
      </c>
      <c r="H106">
        <v>15460</v>
      </c>
      <c r="I106">
        <v>546</v>
      </c>
      <c r="J106">
        <v>408</v>
      </c>
      <c r="K106">
        <v>326</v>
      </c>
      <c r="L106">
        <v>60</v>
      </c>
      <c r="M106">
        <v>3</v>
      </c>
      <c r="N106">
        <v>67</v>
      </c>
    </row>
    <row r="107" spans="1:14" x14ac:dyDescent="0.3">
      <c r="A107" s="1">
        <v>45894</v>
      </c>
      <c r="B107" s="1" t="str">
        <f>TEXT(Tabela1[[#This Row],[Data]],"mmmm")</f>
        <v>sierpień</v>
      </c>
      <c r="C107" s="1" t="str">
        <f>TEXT(Tabela1[[#This Row],[Data]],"dddd")</f>
        <v>poniedziałek</v>
      </c>
      <c r="D107">
        <f>WEEKNUM(Tabela1[[#This Row],[Data]],2)</f>
        <v>35</v>
      </c>
      <c r="E107" t="str">
        <f>IF(WEEKDAY(Tabela1[[#This Row],[Data]],2)&gt;5,"TAK","NIE")</f>
        <v>NIE</v>
      </c>
      <c r="F107" s="2">
        <f>IF(Tabela1[[#This Row],[Wypadki drogowe]]=0,0,Tabela1[[#This Row],[Zabici w wypadkach]]/Tabela1[[#This Row],[Wypadki drogowe]])</f>
        <v>0.16666666666666666</v>
      </c>
      <c r="G107" s="40">
        <f>(Tabela1[[#This Row],[Zatrzymani na gorącym uczynku]]/Tabela1[[#This Row],[Interwencje]])*1000</f>
        <v>37.205512933668274</v>
      </c>
      <c r="H107">
        <v>14729</v>
      </c>
      <c r="I107">
        <v>548</v>
      </c>
      <c r="J107">
        <v>383</v>
      </c>
      <c r="K107">
        <v>368</v>
      </c>
      <c r="L107">
        <v>60</v>
      </c>
      <c r="M107">
        <v>10</v>
      </c>
      <c r="N107">
        <v>69</v>
      </c>
    </row>
    <row r="108" spans="1:14" x14ac:dyDescent="0.3">
      <c r="A108" s="1">
        <v>45893</v>
      </c>
      <c r="B108" s="1" t="str">
        <f>TEXT(Tabela1[[#This Row],[Data]],"mmmm")</f>
        <v>sierpień</v>
      </c>
      <c r="C108" s="1" t="str">
        <f>TEXT(Tabela1[[#This Row],[Data]],"dddd")</f>
        <v>niedziela</v>
      </c>
      <c r="D108">
        <f>WEEKNUM(Tabela1[[#This Row],[Data]],2)</f>
        <v>34</v>
      </c>
      <c r="E108" t="str">
        <f>IF(WEEKDAY(Tabela1[[#This Row],[Data]],2)&gt;5,"TAK","NIE")</f>
        <v>TAK</v>
      </c>
      <c r="F108" s="2">
        <f>IF(Tabela1[[#This Row],[Wypadki drogowe]]=0,0,Tabela1[[#This Row],[Zabici w wypadkach]]/Tabela1[[#This Row],[Wypadki drogowe]])</f>
        <v>0.11666666666666667</v>
      </c>
      <c r="G108" s="40">
        <f>(Tabela1[[#This Row],[Zatrzymani na gorącym uczynku]]/Tabela1[[#This Row],[Interwencje]])*1000</f>
        <v>36.268633779007224</v>
      </c>
      <c r="H108">
        <v>13014</v>
      </c>
      <c r="I108">
        <v>472</v>
      </c>
      <c r="J108">
        <v>184</v>
      </c>
      <c r="K108">
        <v>248</v>
      </c>
      <c r="L108">
        <v>60</v>
      </c>
      <c r="M108">
        <v>7</v>
      </c>
      <c r="N108">
        <v>71</v>
      </c>
    </row>
    <row r="109" spans="1:14" x14ac:dyDescent="0.3">
      <c r="A109" s="1">
        <v>45892</v>
      </c>
      <c r="B109" s="1" t="str">
        <f>TEXT(Tabela1[[#This Row],[Data]],"mmmm")</f>
        <v>sierpień</v>
      </c>
      <c r="C109" s="1" t="str">
        <f>TEXT(Tabela1[[#This Row],[Data]],"dddd")</f>
        <v>sobota</v>
      </c>
      <c r="D109">
        <f>WEEKNUM(Tabela1[[#This Row],[Data]],2)</f>
        <v>34</v>
      </c>
      <c r="E109" t="str">
        <f>IF(WEEKDAY(Tabela1[[#This Row],[Data]],2)&gt;5,"TAK","NIE")</f>
        <v>TAK</v>
      </c>
      <c r="F109" s="2">
        <f>IF(Tabela1[[#This Row],[Wypadki drogowe]]=0,0,Tabela1[[#This Row],[Zabici w wypadkach]]/Tabela1[[#This Row],[Wypadki drogowe]])</f>
        <v>3.1746031746031744E-2</v>
      </c>
      <c r="G109" s="40">
        <f>(Tabela1[[#This Row],[Zatrzymani na gorącym uczynku]]/Tabela1[[#This Row],[Interwencje]])*1000</f>
        <v>37.551073351060381</v>
      </c>
      <c r="H109">
        <v>15419</v>
      </c>
      <c r="I109">
        <v>579</v>
      </c>
      <c r="J109">
        <v>191</v>
      </c>
      <c r="K109">
        <v>330</v>
      </c>
      <c r="L109">
        <v>63</v>
      </c>
      <c r="M109">
        <v>2</v>
      </c>
      <c r="N109">
        <v>84</v>
      </c>
    </row>
    <row r="110" spans="1:14" x14ac:dyDescent="0.3">
      <c r="A110" s="1">
        <v>45891</v>
      </c>
      <c r="B110" s="1" t="str">
        <f>TEXT(Tabela1[[#This Row],[Data]],"mmmm")</f>
        <v>sierpień</v>
      </c>
      <c r="C110" s="1" t="str">
        <f>TEXT(Tabela1[[#This Row],[Data]],"dddd")</f>
        <v>piątek</v>
      </c>
      <c r="D110">
        <f>WEEKNUM(Tabela1[[#This Row],[Data]],2)</f>
        <v>34</v>
      </c>
      <c r="E110" t="str">
        <f>IF(WEEKDAY(Tabela1[[#This Row],[Data]],2)&gt;5,"TAK","NIE")</f>
        <v>NIE</v>
      </c>
      <c r="F110" s="2">
        <f>IF(Tabela1[[#This Row],[Wypadki drogowe]]=0,0,Tabela1[[#This Row],[Zabici w wypadkach]]/Tabela1[[#This Row],[Wypadki drogowe]])</f>
        <v>3.1746031746031744E-2</v>
      </c>
      <c r="G110" s="40">
        <f>(Tabela1[[#This Row],[Zatrzymani na gorącym uczynku]]/Tabela1[[#This Row],[Interwencje]])*1000</f>
        <v>29.427792915531334</v>
      </c>
      <c r="H110">
        <v>16515</v>
      </c>
      <c r="I110">
        <v>486</v>
      </c>
      <c r="J110">
        <v>326</v>
      </c>
      <c r="K110">
        <v>261</v>
      </c>
      <c r="L110">
        <v>63</v>
      </c>
      <c r="M110">
        <v>2</v>
      </c>
      <c r="N110">
        <v>79</v>
      </c>
    </row>
    <row r="111" spans="1:14" x14ac:dyDescent="0.3">
      <c r="A111" s="1">
        <v>45890</v>
      </c>
      <c r="B111" s="1" t="str">
        <f>TEXT(Tabela1[[#This Row],[Data]],"mmmm")</f>
        <v>sierpień</v>
      </c>
      <c r="C111" s="1" t="str">
        <f>TEXT(Tabela1[[#This Row],[Data]],"dddd")</f>
        <v>czwartek</v>
      </c>
      <c r="D111">
        <f>WEEKNUM(Tabela1[[#This Row],[Data]],2)</f>
        <v>34</v>
      </c>
      <c r="E111" t="str">
        <f>IF(WEEKDAY(Tabela1[[#This Row],[Data]],2)&gt;5,"TAK","NIE")</f>
        <v>NIE</v>
      </c>
      <c r="F111" s="2">
        <f>IF(Tabela1[[#This Row],[Wypadki drogowe]]=0,0,Tabela1[[#This Row],[Zabici w wypadkach]]/Tabela1[[#This Row],[Wypadki drogowe]])</f>
        <v>7.407407407407407E-2</v>
      </c>
      <c r="G111" s="40">
        <f>(Tabela1[[#This Row],[Zatrzymani na gorącym uczynku]]/Tabela1[[#This Row],[Interwencje]])*1000</f>
        <v>31.571263458847866</v>
      </c>
      <c r="H111">
        <v>16439</v>
      </c>
      <c r="I111">
        <v>519</v>
      </c>
      <c r="J111">
        <v>369</v>
      </c>
      <c r="K111">
        <v>229</v>
      </c>
      <c r="L111">
        <v>81</v>
      </c>
      <c r="M111">
        <v>6</v>
      </c>
      <c r="N111">
        <v>87</v>
      </c>
    </row>
    <row r="112" spans="1:14" x14ac:dyDescent="0.3">
      <c r="A112" s="1">
        <v>45889</v>
      </c>
      <c r="B112" s="1" t="str">
        <f>TEXT(Tabela1[[#This Row],[Data]],"mmmm")</f>
        <v>sierpień</v>
      </c>
      <c r="C112" s="1" t="str">
        <f>TEXT(Tabela1[[#This Row],[Data]],"dddd")</f>
        <v>środa</v>
      </c>
      <c r="D112">
        <f>WEEKNUM(Tabela1[[#This Row],[Data]],2)</f>
        <v>34</v>
      </c>
      <c r="E112" t="str">
        <f>IF(WEEKDAY(Tabela1[[#This Row],[Data]],2)&gt;5,"TAK","NIE")</f>
        <v>NIE</v>
      </c>
      <c r="F112" s="2">
        <f>IF(Tabela1[[#This Row],[Wypadki drogowe]]=0,0,Tabela1[[#This Row],[Zabici w wypadkach]]/Tabela1[[#This Row],[Wypadki drogowe]])</f>
        <v>1.4492753623188406E-2</v>
      </c>
      <c r="G112" s="40">
        <f>(Tabela1[[#This Row],[Zatrzymani na gorącym uczynku]]/Tabela1[[#This Row],[Interwencje]])*1000</f>
        <v>35.814350103544889</v>
      </c>
      <c r="H112">
        <v>16418</v>
      </c>
      <c r="I112">
        <v>588</v>
      </c>
      <c r="J112">
        <v>385</v>
      </c>
      <c r="K112">
        <v>276</v>
      </c>
      <c r="L112">
        <v>69</v>
      </c>
      <c r="M112">
        <v>1</v>
      </c>
      <c r="N112">
        <v>78</v>
      </c>
    </row>
    <row r="113" spans="1:14" x14ac:dyDescent="0.3">
      <c r="A113" s="1">
        <v>45888</v>
      </c>
      <c r="B113" s="1" t="str">
        <f>TEXT(Tabela1[[#This Row],[Data]],"mmmm")</f>
        <v>sierpień</v>
      </c>
      <c r="C113" s="1" t="str">
        <f>TEXT(Tabela1[[#This Row],[Data]],"dddd")</f>
        <v>wtorek</v>
      </c>
      <c r="D113">
        <f>WEEKNUM(Tabela1[[#This Row],[Data]],2)</f>
        <v>34</v>
      </c>
      <c r="E113" t="str">
        <f>IF(WEEKDAY(Tabela1[[#This Row],[Data]],2)&gt;5,"TAK","NIE")</f>
        <v>NIE</v>
      </c>
      <c r="F113" s="2">
        <f>IF(Tabela1[[#This Row],[Wypadki drogowe]]=0,0,Tabela1[[#This Row],[Zabici w wypadkach]]/Tabela1[[#This Row],[Wypadki drogowe]])</f>
        <v>8.9552238805970144E-2</v>
      </c>
      <c r="G113" s="40">
        <f>(Tabela1[[#This Row],[Zatrzymani na gorącym uczynku]]/Tabela1[[#This Row],[Interwencje]])*1000</f>
        <v>32.399137665537417</v>
      </c>
      <c r="H113">
        <v>16235</v>
      </c>
      <c r="I113">
        <v>526</v>
      </c>
      <c r="J113">
        <v>353</v>
      </c>
      <c r="K113">
        <v>226</v>
      </c>
      <c r="L113">
        <v>67</v>
      </c>
      <c r="M113">
        <v>6</v>
      </c>
      <c r="N113">
        <v>74</v>
      </c>
    </row>
    <row r="114" spans="1:14" x14ac:dyDescent="0.3">
      <c r="A114" s="1">
        <v>45887</v>
      </c>
      <c r="B114" s="1" t="str">
        <f>TEXT(Tabela1[[#This Row],[Data]],"mmmm")</f>
        <v>sierpień</v>
      </c>
      <c r="C114" s="1" t="str">
        <f>TEXT(Tabela1[[#This Row],[Data]],"dddd")</f>
        <v>poniedziałek</v>
      </c>
      <c r="D114">
        <f>WEEKNUM(Tabela1[[#This Row],[Data]],2)</f>
        <v>34</v>
      </c>
      <c r="E114" t="str">
        <f>IF(WEEKDAY(Tabela1[[#This Row],[Data]],2)&gt;5,"TAK","NIE")</f>
        <v>NIE</v>
      </c>
      <c r="F114" s="2">
        <f>IF(Tabela1[[#This Row],[Wypadki drogowe]]=0,0,Tabela1[[#This Row],[Zabici w wypadkach]]/Tabela1[[#This Row],[Wypadki drogowe]])</f>
        <v>0.12121212121212122</v>
      </c>
      <c r="G114" s="40">
        <f>(Tabela1[[#This Row],[Zatrzymani na gorącym uczynku]]/Tabela1[[#This Row],[Interwencje]])*1000</f>
        <v>43.623346681228007</v>
      </c>
      <c r="H114">
        <v>16482</v>
      </c>
      <c r="I114">
        <v>719</v>
      </c>
      <c r="J114">
        <v>256</v>
      </c>
      <c r="K114">
        <v>589</v>
      </c>
      <c r="L114">
        <v>66</v>
      </c>
      <c r="M114">
        <v>8</v>
      </c>
      <c r="N114">
        <v>76</v>
      </c>
    </row>
    <row r="115" spans="1:14" x14ac:dyDescent="0.3">
      <c r="A115" s="1">
        <v>45886</v>
      </c>
      <c r="B115" s="1" t="str">
        <f>TEXT(Tabela1[[#This Row],[Data]],"mmmm")</f>
        <v>sierpień</v>
      </c>
      <c r="C115" s="1" t="str">
        <f>TEXT(Tabela1[[#This Row],[Data]],"dddd")</f>
        <v>niedziela</v>
      </c>
      <c r="D115">
        <f>WEEKNUM(Tabela1[[#This Row],[Data]],2)</f>
        <v>33</v>
      </c>
      <c r="E115" t="str">
        <f>IF(WEEKDAY(Tabela1[[#This Row],[Data]],2)&gt;5,"TAK","NIE")</f>
        <v>TAK</v>
      </c>
      <c r="F115" s="2">
        <f>IF(Tabela1[[#This Row],[Wypadki drogowe]]=0,0,Tabela1[[#This Row],[Zabici w wypadkach]]/Tabela1[[#This Row],[Wypadki drogowe]])</f>
        <v>0.1038961038961039</v>
      </c>
      <c r="G115" s="40">
        <f>(Tabela1[[#This Row],[Zatrzymani na gorącym uczynku]]/Tabela1[[#This Row],[Interwencje]])*1000</f>
        <v>38.07404660362198</v>
      </c>
      <c r="H115">
        <v>16179</v>
      </c>
      <c r="I115">
        <v>616</v>
      </c>
      <c r="J115">
        <v>187</v>
      </c>
      <c r="K115">
        <v>406</v>
      </c>
      <c r="L115">
        <v>77</v>
      </c>
      <c r="M115">
        <v>8</v>
      </c>
      <c r="N115">
        <v>100</v>
      </c>
    </row>
    <row r="116" spans="1:14" x14ac:dyDescent="0.3">
      <c r="A116" s="1">
        <v>45885</v>
      </c>
      <c r="B116" s="1" t="str">
        <f>TEXT(Tabela1[[#This Row],[Data]],"mmmm")</f>
        <v>sierpień</v>
      </c>
      <c r="C116" s="1" t="str">
        <f>TEXT(Tabela1[[#This Row],[Data]],"dddd")</f>
        <v>sobota</v>
      </c>
      <c r="D116">
        <f>WEEKNUM(Tabela1[[#This Row],[Data]],2)</f>
        <v>33</v>
      </c>
      <c r="E116" t="str">
        <f>IF(WEEKDAY(Tabela1[[#This Row],[Data]],2)&gt;5,"TAK","NIE")</f>
        <v>TAK</v>
      </c>
      <c r="F116" s="2">
        <f>IF(Tabela1[[#This Row],[Wypadki drogowe]]=0,0,Tabela1[[#This Row],[Zabici w wypadkach]]/Tabela1[[#This Row],[Wypadki drogowe]])</f>
        <v>5.9523809523809521E-2</v>
      </c>
      <c r="G116" s="40">
        <f>(Tabela1[[#This Row],[Zatrzymani na gorącym uczynku]]/Tabela1[[#This Row],[Interwencje]])*1000</f>
        <v>31.844456121912771</v>
      </c>
      <c r="H116">
        <v>19030</v>
      </c>
      <c r="I116">
        <v>606</v>
      </c>
      <c r="J116">
        <v>186</v>
      </c>
      <c r="K116">
        <v>404</v>
      </c>
      <c r="L116">
        <v>84</v>
      </c>
      <c r="M116">
        <v>5</v>
      </c>
      <c r="N116">
        <v>109</v>
      </c>
    </row>
    <row r="117" spans="1:14" x14ac:dyDescent="0.3">
      <c r="A117" s="1">
        <v>45884</v>
      </c>
      <c r="B117" s="1" t="str">
        <f>TEXT(Tabela1[[#This Row],[Data]],"mmmm")</f>
        <v>sierpień</v>
      </c>
      <c r="C117" s="1" t="str">
        <f>TEXT(Tabela1[[#This Row],[Data]],"dddd")</f>
        <v>piątek</v>
      </c>
      <c r="D117">
        <f>WEEKNUM(Tabela1[[#This Row],[Data]],2)</f>
        <v>33</v>
      </c>
      <c r="E117" t="str">
        <f>IF(WEEKDAY(Tabela1[[#This Row],[Data]],2)&gt;5,"TAK","NIE")</f>
        <v>NIE</v>
      </c>
      <c r="F117" s="2">
        <f>IF(Tabela1[[#This Row],[Wypadki drogowe]]=0,0,Tabela1[[#This Row],[Zabici w wypadkach]]/Tabela1[[#This Row],[Wypadki drogowe]])</f>
        <v>0.23863636363636365</v>
      </c>
      <c r="G117" s="40">
        <f>(Tabela1[[#This Row],[Zatrzymani na gorącym uczynku]]/Tabela1[[#This Row],[Interwencje]])*1000</f>
        <v>34.498083439808894</v>
      </c>
      <c r="H117">
        <v>18001</v>
      </c>
      <c r="I117">
        <v>621</v>
      </c>
      <c r="J117">
        <v>252</v>
      </c>
      <c r="K117">
        <v>406</v>
      </c>
      <c r="L117">
        <v>88</v>
      </c>
      <c r="M117">
        <v>21</v>
      </c>
      <c r="N117">
        <v>106</v>
      </c>
    </row>
    <row r="118" spans="1:14" x14ac:dyDescent="0.3">
      <c r="A118" s="1">
        <v>45883</v>
      </c>
      <c r="B118" s="1" t="str">
        <f>TEXT(Tabela1[[#This Row],[Data]],"mmmm")</f>
        <v>sierpień</v>
      </c>
      <c r="C118" s="1" t="str">
        <f>TEXT(Tabela1[[#This Row],[Data]],"dddd")</f>
        <v>czwartek</v>
      </c>
      <c r="D118">
        <f>WEEKNUM(Tabela1[[#This Row],[Data]],2)</f>
        <v>33</v>
      </c>
      <c r="E118" t="str">
        <f>IF(WEEKDAY(Tabela1[[#This Row],[Data]],2)&gt;5,"TAK","NIE")</f>
        <v>NIE</v>
      </c>
      <c r="F118" s="2">
        <f>IF(Tabela1[[#This Row],[Wypadki drogowe]]=0,0,Tabela1[[#This Row],[Zabici w wypadkach]]/Tabela1[[#This Row],[Wypadki drogowe]])</f>
        <v>6.3063063063063057E-2</v>
      </c>
      <c r="G118" s="40">
        <f>(Tabela1[[#This Row],[Zatrzymani na gorącym uczynku]]/Tabela1[[#This Row],[Interwencje]])*1000</f>
        <v>26.280393171236419</v>
      </c>
      <c r="H118">
        <v>19330</v>
      </c>
      <c r="I118">
        <v>508</v>
      </c>
      <c r="J118">
        <v>330</v>
      </c>
      <c r="K118">
        <v>234</v>
      </c>
      <c r="L118">
        <v>111</v>
      </c>
      <c r="M118">
        <v>7</v>
      </c>
      <c r="N118">
        <v>116</v>
      </c>
    </row>
    <row r="119" spans="1:14" x14ac:dyDescent="0.3">
      <c r="A119" s="1">
        <v>45882</v>
      </c>
      <c r="B119" s="1" t="str">
        <f>TEXT(Tabela1[[#This Row],[Data]],"mmmm")</f>
        <v>sierpień</v>
      </c>
      <c r="C119" s="1" t="str">
        <f>TEXT(Tabela1[[#This Row],[Data]],"dddd")</f>
        <v>środa</v>
      </c>
      <c r="D119">
        <f>WEEKNUM(Tabela1[[#This Row],[Data]],2)</f>
        <v>33</v>
      </c>
      <c r="E119" t="str">
        <f>IF(WEEKDAY(Tabela1[[#This Row],[Data]],2)&gt;5,"TAK","NIE")</f>
        <v>NIE</v>
      </c>
      <c r="F119" s="2">
        <f>IF(Tabela1[[#This Row],[Wypadki drogowe]]=0,0,Tabela1[[#This Row],[Zabici w wypadkach]]/Tabela1[[#This Row],[Wypadki drogowe]])</f>
        <v>4.49438202247191E-2</v>
      </c>
      <c r="G119" s="40">
        <f>(Tabela1[[#This Row],[Zatrzymani na gorącym uczynku]]/Tabela1[[#This Row],[Interwencje]])*1000</f>
        <v>30.318931840708995</v>
      </c>
      <c r="H119">
        <v>17151</v>
      </c>
      <c r="I119">
        <v>520</v>
      </c>
      <c r="J119">
        <v>366</v>
      </c>
      <c r="K119">
        <v>241</v>
      </c>
      <c r="L119">
        <v>89</v>
      </c>
      <c r="M119">
        <v>4</v>
      </c>
      <c r="N119">
        <v>96</v>
      </c>
    </row>
    <row r="120" spans="1:14" x14ac:dyDescent="0.3">
      <c r="A120" s="1">
        <v>45881</v>
      </c>
      <c r="B120" s="1" t="str">
        <f>TEXT(Tabela1[[#This Row],[Data]],"mmmm")</f>
        <v>sierpień</v>
      </c>
      <c r="C120" s="1" t="str">
        <f>TEXT(Tabela1[[#This Row],[Data]],"dddd")</f>
        <v>wtorek</v>
      </c>
      <c r="D120">
        <f>WEEKNUM(Tabela1[[#This Row],[Data]],2)</f>
        <v>33</v>
      </c>
      <c r="E120" t="str">
        <f>IF(WEEKDAY(Tabela1[[#This Row],[Data]],2)&gt;5,"TAK","NIE")</f>
        <v>NIE</v>
      </c>
      <c r="F120" s="2">
        <f>IF(Tabela1[[#This Row],[Wypadki drogowe]]=0,0,Tabela1[[#This Row],[Zabici w wypadkach]]/Tabela1[[#This Row],[Wypadki drogowe]])</f>
        <v>3.3333333333333333E-2</v>
      </c>
      <c r="G120" s="40">
        <f>(Tabela1[[#This Row],[Zatrzymani na gorącym uczynku]]/Tabela1[[#This Row],[Interwencje]])*1000</f>
        <v>30.817461256358687</v>
      </c>
      <c r="H120">
        <v>16906</v>
      </c>
      <c r="I120">
        <v>521</v>
      </c>
      <c r="J120">
        <v>417</v>
      </c>
      <c r="K120">
        <v>240</v>
      </c>
      <c r="L120">
        <v>90</v>
      </c>
      <c r="M120">
        <v>3</v>
      </c>
      <c r="N120">
        <v>107</v>
      </c>
    </row>
    <row r="121" spans="1:14" x14ac:dyDescent="0.3">
      <c r="A121" s="1">
        <v>45880</v>
      </c>
      <c r="B121" s="1" t="str">
        <f>TEXT(Tabela1[[#This Row],[Data]],"mmmm")</f>
        <v>sierpień</v>
      </c>
      <c r="C121" s="1" t="str">
        <f>TEXT(Tabela1[[#This Row],[Data]],"dddd")</f>
        <v>poniedziałek</v>
      </c>
      <c r="D121">
        <f>WEEKNUM(Tabela1[[#This Row],[Data]],2)</f>
        <v>33</v>
      </c>
      <c r="E121" t="str">
        <f>IF(WEEKDAY(Tabela1[[#This Row],[Data]],2)&gt;5,"TAK","NIE")</f>
        <v>NIE</v>
      </c>
      <c r="F121" s="2">
        <f>IF(Tabela1[[#This Row],[Wypadki drogowe]]=0,0,Tabela1[[#This Row],[Zabici w wypadkach]]/Tabela1[[#This Row],[Wypadki drogowe]])</f>
        <v>0.1</v>
      </c>
      <c r="G121" s="40">
        <f>(Tabela1[[#This Row],[Zatrzymani na gorącym uczynku]]/Tabela1[[#This Row],[Interwencje]])*1000</f>
        <v>29.639407211855762</v>
      </c>
      <c r="H121">
        <v>16667</v>
      </c>
      <c r="I121">
        <v>494</v>
      </c>
      <c r="J121">
        <v>298</v>
      </c>
      <c r="K121">
        <v>260</v>
      </c>
      <c r="L121">
        <v>80</v>
      </c>
      <c r="M121">
        <v>8</v>
      </c>
      <c r="N121">
        <v>101</v>
      </c>
    </row>
    <row r="122" spans="1:14" x14ac:dyDescent="0.3">
      <c r="A122" s="1">
        <v>45879</v>
      </c>
      <c r="B122" s="1" t="str">
        <f>TEXT(Tabela1[[#This Row],[Data]],"mmmm")</f>
        <v>sierpień</v>
      </c>
      <c r="C122" s="1" t="str">
        <f>TEXT(Tabela1[[#This Row],[Data]],"dddd")</f>
        <v>niedziela</v>
      </c>
      <c r="D122">
        <f>WEEKNUM(Tabela1[[#This Row],[Data]],2)</f>
        <v>32</v>
      </c>
      <c r="E122" t="str">
        <f>IF(WEEKDAY(Tabela1[[#This Row],[Data]],2)&gt;5,"TAK","NIE")</f>
        <v>TAK</v>
      </c>
      <c r="F122" s="2">
        <f>IF(Tabela1[[#This Row],[Wypadki drogowe]]=0,0,Tabela1[[#This Row],[Zabici w wypadkach]]/Tabela1[[#This Row],[Wypadki drogowe]])</f>
        <v>5.4545454545454543E-2</v>
      </c>
      <c r="G122" s="40">
        <f>(Tabela1[[#This Row],[Zatrzymani na gorącym uczynku]]/Tabela1[[#This Row],[Interwencje]])*1000</f>
        <v>40.716612377850161</v>
      </c>
      <c r="H122">
        <v>15964</v>
      </c>
      <c r="I122">
        <v>650</v>
      </c>
      <c r="J122">
        <v>192</v>
      </c>
      <c r="K122">
        <v>369</v>
      </c>
      <c r="L122">
        <v>55</v>
      </c>
      <c r="M122">
        <v>3</v>
      </c>
      <c r="N122">
        <v>68</v>
      </c>
    </row>
    <row r="123" spans="1:14" x14ac:dyDescent="0.3">
      <c r="A123" s="1">
        <v>45878</v>
      </c>
      <c r="B123" s="1" t="str">
        <f>TEXT(Tabela1[[#This Row],[Data]],"mmmm")</f>
        <v>sierpień</v>
      </c>
      <c r="C123" s="1" t="str">
        <f>TEXT(Tabela1[[#This Row],[Data]],"dddd")</f>
        <v>sobota</v>
      </c>
      <c r="D123">
        <f>WEEKNUM(Tabela1[[#This Row],[Data]],2)</f>
        <v>32</v>
      </c>
      <c r="E123" t="str">
        <f>IF(WEEKDAY(Tabela1[[#This Row],[Data]],2)&gt;5,"TAK","NIE")</f>
        <v>TAK</v>
      </c>
      <c r="F123" s="2">
        <f>IF(Tabela1[[#This Row],[Wypadki drogowe]]=0,0,Tabela1[[#This Row],[Zabici w wypadkach]]/Tabela1[[#This Row],[Wypadki drogowe]])</f>
        <v>8.8607594936708861E-2</v>
      </c>
      <c r="G123" s="40">
        <f>(Tabela1[[#This Row],[Zatrzymani na gorącym uczynku]]/Tabela1[[#This Row],[Interwencje]])*1000</f>
        <v>36.111994909322306</v>
      </c>
      <c r="H123">
        <v>18858</v>
      </c>
      <c r="I123">
        <v>681</v>
      </c>
      <c r="J123">
        <v>221</v>
      </c>
      <c r="K123">
        <v>398</v>
      </c>
      <c r="L123">
        <v>79</v>
      </c>
      <c r="M123">
        <v>7</v>
      </c>
      <c r="N123">
        <v>84</v>
      </c>
    </row>
    <row r="124" spans="1:14" x14ac:dyDescent="0.3">
      <c r="A124" s="1">
        <v>45877</v>
      </c>
      <c r="B124" s="1" t="str">
        <f>TEXT(Tabela1[[#This Row],[Data]],"mmmm")</f>
        <v>sierpień</v>
      </c>
      <c r="C124" s="1" t="str">
        <f>TEXT(Tabela1[[#This Row],[Data]],"dddd")</f>
        <v>piątek</v>
      </c>
      <c r="D124">
        <f>WEEKNUM(Tabela1[[#This Row],[Data]],2)</f>
        <v>32</v>
      </c>
      <c r="E124" t="str">
        <f>IF(WEEKDAY(Tabela1[[#This Row],[Data]],2)&gt;5,"TAK","NIE")</f>
        <v>NIE</v>
      </c>
      <c r="F124" s="2">
        <f>IF(Tabela1[[#This Row],[Wypadki drogowe]]=0,0,Tabela1[[#This Row],[Zabici w wypadkach]]/Tabela1[[#This Row],[Wypadki drogowe]])</f>
        <v>8.8607594936708861E-2</v>
      </c>
      <c r="G124" s="40">
        <f>(Tabela1[[#This Row],[Zatrzymani na gorącym uczynku]]/Tabela1[[#This Row],[Interwencje]])*1000</f>
        <v>32.239657631954351</v>
      </c>
      <c r="H124">
        <v>17525</v>
      </c>
      <c r="I124">
        <v>565</v>
      </c>
      <c r="J124">
        <v>328</v>
      </c>
      <c r="K124">
        <v>261</v>
      </c>
      <c r="L124">
        <v>79</v>
      </c>
      <c r="M124">
        <v>7</v>
      </c>
      <c r="N124">
        <v>90</v>
      </c>
    </row>
    <row r="125" spans="1:14" x14ac:dyDescent="0.3">
      <c r="A125" s="1">
        <v>45876</v>
      </c>
      <c r="B125" s="1" t="str">
        <f>TEXT(Tabela1[[#This Row],[Data]],"mmmm")</f>
        <v>sierpień</v>
      </c>
      <c r="C125" s="1" t="str">
        <f>TEXT(Tabela1[[#This Row],[Data]],"dddd")</f>
        <v>czwartek</v>
      </c>
      <c r="D125">
        <f>WEEKNUM(Tabela1[[#This Row],[Data]],2)</f>
        <v>32</v>
      </c>
      <c r="E125" t="str">
        <f>IF(WEEKDAY(Tabela1[[#This Row],[Data]],2)&gt;5,"TAK","NIE")</f>
        <v>NIE</v>
      </c>
      <c r="F125" s="2">
        <f>IF(Tabela1[[#This Row],[Wypadki drogowe]]=0,0,Tabela1[[#This Row],[Zabici w wypadkach]]/Tabela1[[#This Row],[Wypadki drogowe]])</f>
        <v>4.4776119402985072E-2</v>
      </c>
      <c r="G125" s="40">
        <f>(Tabela1[[#This Row],[Zatrzymani na gorącym uczynku]]/Tabela1[[#This Row],[Interwencje]])*1000</f>
        <v>34.907597535934286</v>
      </c>
      <c r="H125">
        <v>16071</v>
      </c>
      <c r="I125">
        <v>561</v>
      </c>
      <c r="J125">
        <v>361</v>
      </c>
      <c r="K125">
        <v>250</v>
      </c>
      <c r="L125">
        <v>67</v>
      </c>
      <c r="M125">
        <v>3</v>
      </c>
      <c r="N125">
        <v>77</v>
      </c>
    </row>
    <row r="126" spans="1:14" x14ac:dyDescent="0.3">
      <c r="A126" s="1">
        <v>45875</v>
      </c>
      <c r="B126" s="1" t="str">
        <f>TEXT(Tabela1[[#This Row],[Data]],"mmmm")</f>
        <v>sierpień</v>
      </c>
      <c r="C126" s="1" t="str">
        <f>TEXT(Tabela1[[#This Row],[Data]],"dddd")</f>
        <v>środa</v>
      </c>
      <c r="D126">
        <f>WEEKNUM(Tabela1[[#This Row],[Data]],2)</f>
        <v>32</v>
      </c>
      <c r="E126" t="str">
        <f>IF(WEEKDAY(Tabela1[[#This Row],[Data]],2)&gt;5,"TAK","NIE")</f>
        <v>NIE</v>
      </c>
      <c r="F126" s="2">
        <f>IF(Tabela1[[#This Row],[Wypadki drogowe]]=0,0,Tabela1[[#This Row],[Zabici w wypadkach]]/Tabela1[[#This Row],[Wypadki drogowe]])</f>
        <v>0</v>
      </c>
      <c r="G126" s="40">
        <f>(Tabela1[[#This Row],[Zatrzymani na gorącym uczynku]]/Tabela1[[#This Row],[Interwencje]])*1000</f>
        <v>32.516061360954502</v>
      </c>
      <c r="H126">
        <v>15254</v>
      </c>
      <c r="I126">
        <v>496</v>
      </c>
      <c r="J126">
        <v>321</v>
      </c>
      <c r="K126">
        <v>229</v>
      </c>
      <c r="L126">
        <v>57</v>
      </c>
      <c r="M126">
        <v>0</v>
      </c>
      <c r="N126">
        <v>61</v>
      </c>
    </row>
    <row r="127" spans="1:14" x14ac:dyDescent="0.3">
      <c r="A127" s="1">
        <v>45874</v>
      </c>
      <c r="B127" s="1" t="str">
        <f>TEXT(Tabela1[[#This Row],[Data]],"mmmm")</f>
        <v>sierpień</v>
      </c>
      <c r="C127" s="1" t="str">
        <f>TEXT(Tabela1[[#This Row],[Data]],"dddd")</f>
        <v>wtorek</v>
      </c>
      <c r="D127">
        <f>WEEKNUM(Tabela1[[#This Row],[Data]],2)</f>
        <v>32</v>
      </c>
      <c r="E127" t="str">
        <f>IF(WEEKDAY(Tabela1[[#This Row],[Data]],2)&gt;5,"TAK","NIE")</f>
        <v>NIE</v>
      </c>
      <c r="F127" s="2">
        <f>IF(Tabela1[[#This Row],[Wypadki drogowe]]=0,0,Tabela1[[#This Row],[Zabici w wypadkach]]/Tabela1[[#This Row],[Wypadki drogowe]])</f>
        <v>8.1081081081081086E-2</v>
      </c>
      <c r="G127" s="40">
        <f>(Tabela1[[#This Row],[Zatrzymani na gorącym uczynku]]/Tabela1[[#This Row],[Interwencje]])*1000</f>
        <v>29.855600364251334</v>
      </c>
      <c r="H127">
        <v>15374</v>
      </c>
      <c r="I127">
        <v>459</v>
      </c>
      <c r="J127">
        <v>340</v>
      </c>
      <c r="K127">
        <v>201</v>
      </c>
      <c r="L127">
        <v>74</v>
      </c>
      <c r="M127">
        <v>6</v>
      </c>
      <c r="N127">
        <v>78</v>
      </c>
    </row>
    <row r="128" spans="1:14" x14ac:dyDescent="0.3">
      <c r="A128" s="1">
        <v>45873</v>
      </c>
      <c r="B128" s="1" t="str">
        <f>TEXT(Tabela1[[#This Row],[Data]],"mmmm")</f>
        <v>sierpień</v>
      </c>
      <c r="C128" s="1" t="str">
        <f>TEXT(Tabela1[[#This Row],[Data]],"dddd")</f>
        <v>poniedziałek</v>
      </c>
      <c r="D128">
        <f>WEEKNUM(Tabela1[[#This Row],[Data]],2)</f>
        <v>32</v>
      </c>
      <c r="E128" t="str">
        <f>IF(WEEKDAY(Tabela1[[#This Row],[Data]],2)&gt;5,"TAK","NIE")</f>
        <v>NIE</v>
      </c>
      <c r="F128" s="2">
        <f>IF(Tabela1[[#This Row],[Wypadki drogowe]]=0,0,Tabela1[[#This Row],[Zabici w wypadkach]]/Tabela1[[#This Row],[Wypadki drogowe]])</f>
        <v>2.2222222222222223E-2</v>
      </c>
      <c r="G128" s="40">
        <f>(Tabela1[[#This Row],[Zatrzymani na gorącym uczynku]]/Tabela1[[#This Row],[Interwencje]])*1000</f>
        <v>36.545489517214847</v>
      </c>
      <c r="H128">
        <v>15597</v>
      </c>
      <c r="I128">
        <v>570</v>
      </c>
      <c r="J128">
        <v>312</v>
      </c>
      <c r="K128">
        <v>342</v>
      </c>
      <c r="L128">
        <v>45</v>
      </c>
      <c r="M128">
        <v>1</v>
      </c>
      <c r="N128">
        <v>56</v>
      </c>
    </row>
    <row r="129" spans="1:14" x14ac:dyDescent="0.3">
      <c r="A129" s="1">
        <v>45872</v>
      </c>
      <c r="B129" s="1" t="str">
        <f>TEXT(Tabela1[[#This Row],[Data]],"mmmm")</f>
        <v>sierpień</v>
      </c>
      <c r="C129" s="1" t="str">
        <f>TEXT(Tabela1[[#This Row],[Data]],"dddd")</f>
        <v>niedziela</v>
      </c>
      <c r="D129">
        <f>WEEKNUM(Tabela1[[#This Row],[Data]],2)</f>
        <v>31</v>
      </c>
      <c r="E129" t="str">
        <f>IF(WEEKDAY(Tabela1[[#This Row],[Data]],2)&gt;5,"TAK","NIE")</f>
        <v>TAK</v>
      </c>
      <c r="F129" s="2">
        <f>IF(Tabela1[[#This Row],[Wypadki drogowe]]=0,0,Tabela1[[#This Row],[Zabici w wypadkach]]/Tabela1[[#This Row],[Wypadki drogowe]])</f>
        <v>4.6875E-2</v>
      </c>
      <c r="G129" s="40">
        <f>(Tabela1[[#This Row],[Zatrzymani na gorącym uczynku]]/Tabela1[[#This Row],[Interwencje]])*1000</f>
        <v>40.578358208955223</v>
      </c>
      <c r="H129">
        <v>15008</v>
      </c>
      <c r="I129">
        <v>609</v>
      </c>
      <c r="J129">
        <v>215</v>
      </c>
      <c r="K129">
        <v>335</v>
      </c>
      <c r="L129">
        <v>64</v>
      </c>
      <c r="M129">
        <v>3</v>
      </c>
      <c r="N129">
        <v>88</v>
      </c>
    </row>
    <row r="130" spans="1:14" x14ac:dyDescent="0.3">
      <c r="A130" s="1">
        <v>45871</v>
      </c>
      <c r="B130" s="1" t="str">
        <f>TEXT(Tabela1[[#This Row],[Data]],"mmmm")</f>
        <v>sierpień</v>
      </c>
      <c r="C130" s="1" t="str">
        <f>TEXT(Tabela1[[#This Row],[Data]],"dddd")</f>
        <v>sobota</v>
      </c>
      <c r="D130">
        <f>WEEKNUM(Tabela1[[#This Row],[Data]],2)</f>
        <v>31</v>
      </c>
      <c r="E130" t="str">
        <f>IF(WEEKDAY(Tabela1[[#This Row],[Data]],2)&gt;5,"TAK","NIE")</f>
        <v>TAK</v>
      </c>
      <c r="F130" s="2">
        <f>IF(Tabela1[[#This Row],[Wypadki drogowe]]=0,0,Tabela1[[#This Row],[Zabici w wypadkach]]/Tabela1[[#This Row],[Wypadki drogowe]])</f>
        <v>7.4999999999999997E-2</v>
      </c>
      <c r="G130" s="40">
        <f>(Tabela1[[#This Row],[Zatrzymani na gorącym uczynku]]/Tabela1[[#This Row],[Interwencje]])*1000</f>
        <v>37.691664343462499</v>
      </c>
      <c r="H130">
        <v>17935</v>
      </c>
      <c r="I130">
        <v>676</v>
      </c>
      <c r="J130">
        <v>251</v>
      </c>
      <c r="K130">
        <v>393</v>
      </c>
      <c r="L130">
        <v>80</v>
      </c>
      <c r="M130">
        <v>6</v>
      </c>
      <c r="N130">
        <v>88</v>
      </c>
    </row>
    <row r="131" spans="1:14" x14ac:dyDescent="0.3">
      <c r="A131" s="1">
        <v>45870</v>
      </c>
      <c r="B131" s="1" t="str">
        <f>TEXT(Tabela1[[#This Row],[Data]],"mmmm")</f>
        <v>sierpień</v>
      </c>
      <c r="C131" s="1" t="str">
        <f>TEXT(Tabela1[[#This Row],[Data]],"dddd")</f>
        <v>piątek</v>
      </c>
      <c r="D131">
        <f>WEEKNUM(Tabela1[[#This Row],[Data]],2)</f>
        <v>31</v>
      </c>
      <c r="E131" t="str">
        <f>IF(WEEKDAY(Tabela1[[#This Row],[Data]],2)&gt;5,"TAK","NIE")</f>
        <v>NIE</v>
      </c>
      <c r="F131" s="2">
        <f>IF(Tabela1[[#This Row],[Wypadki drogowe]]=0,0,Tabela1[[#This Row],[Zabici w wypadkach]]/Tabela1[[#This Row],[Wypadki drogowe]])</f>
        <v>4.2857142857142858E-2</v>
      </c>
      <c r="G131" s="40">
        <f>(Tabela1[[#This Row],[Zatrzymani na gorącym uczynku]]/Tabela1[[#This Row],[Interwencje]])*1000</f>
        <v>32.20003597769383</v>
      </c>
      <c r="H131">
        <v>16677</v>
      </c>
      <c r="I131">
        <v>537</v>
      </c>
      <c r="J131">
        <v>348</v>
      </c>
      <c r="K131">
        <v>251</v>
      </c>
      <c r="L131">
        <v>70</v>
      </c>
      <c r="M131">
        <v>3</v>
      </c>
      <c r="N131">
        <v>83</v>
      </c>
    </row>
    <row r="132" spans="1:14" x14ac:dyDescent="0.3">
      <c r="A132" s="1">
        <v>45869</v>
      </c>
      <c r="B132" s="1" t="str">
        <f>TEXT(Tabela1[[#This Row],[Data]],"mmmm")</f>
        <v>lipiec</v>
      </c>
      <c r="C132" s="1" t="str">
        <f>TEXT(Tabela1[[#This Row],[Data]],"dddd")</f>
        <v>czwartek</v>
      </c>
      <c r="D132">
        <f>WEEKNUM(Tabela1[[#This Row],[Data]],2)</f>
        <v>31</v>
      </c>
      <c r="E132" t="str">
        <f>IF(WEEKDAY(Tabela1[[#This Row],[Data]],2)&gt;5,"TAK","NIE")</f>
        <v>NIE</v>
      </c>
      <c r="F132" s="2">
        <f>IF(Tabela1[[#This Row],[Wypadki drogowe]]=0,0,Tabela1[[#This Row],[Zabici w wypadkach]]/Tabela1[[#This Row],[Wypadki drogowe]])</f>
        <v>2.9850746268656716E-2</v>
      </c>
      <c r="G132" s="40">
        <f>(Tabela1[[#This Row],[Zatrzymani na gorącym uczynku]]/Tabela1[[#This Row],[Interwencje]])*1000</f>
        <v>36.249543072986476</v>
      </c>
      <c r="H132">
        <v>16414</v>
      </c>
      <c r="I132">
        <v>595</v>
      </c>
      <c r="J132">
        <v>402</v>
      </c>
      <c r="K132">
        <v>273</v>
      </c>
      <c r="L132">
        <v>67</v>
      </c>
      <c r="M132">
        <v>2</v>
      </c>
      <c r="N132">
        <v>83</v>
      </c>
    </row>
    <row r="133" spans="1:14" x14ac:dyDescent="0.3">
      <c r="A133" s="1">
        <v>45868</v>
      </c>
      <c r="B133" s="1" t="str">
        <f>TEXT(Tabela1[[#This Row],[Data]],"mmmm")</f>
        <v>lipiec</v>
      </c>
      <c r="C133" s="1" t="str">
        <f>TEXT(Tabela1[[#This Row],[Data]],"dddd")</f>
        <v>środa</v>
      </c>
      <c r="D133">
        <f>WEEKNUM(Tabela1[[#This Row],[Data]],2)</f>
        <v>31</v>
      </c>
      <c r="E133" t="str">
        <f>IF(WEEKDAY(Tabela1[[#This Row],[Data]],2)&gt;5,"TAK","NIE")</f>
        <v>NIE</v>
      </c>
      <c r="F133" s="2">
        <f>IF(Tabela1[[#This Row],[Wypadki drogowe]]=0,0,Tabela1[[#This Row],[Zabici w wypadkach]]/Tabela1[[#This Row],[Wypadki drogowe]])</f>
        <v>2.8985507246376812E-2</v>
      </c>
      <c r="G133" s="40">
        <f>(Tabela1[[#This Row],[Zatrzymani na gorącym uczynku]]/Tabela1[[#This Row],[Interwencje]])*1000</f>
        <v>34.055914497916788</v>
      </c>
      <c r="H133">
        <v>16561</v>
      </c>
      <c r="I133">
        <v>564</v>
      </c>
      <c r="J133">
        <v>486</v>
      </c>
      <c r="K133">
        <v>266</v>
      </c>
      <c r="L133">
        <v>69</v>
      </c>
      <c r="M133">
        <v>2</v>
      </c>
      <c r="N133">
        <v>83</v>
      </c>
    </row>
    <row r="134" spans="1:14" x14ac:dyDescent="0.3">
      <c r="A134" s="1">
        <v>45867</v>
      </c>
      <c r="B134" s="1" t="str">
        <f>TEXT(Tabela1[[#This Row],[Data]],"mmmm")</f>
        <v>lipiec</v>
      </c>
      <c r="C134" s="1" t="str">
        <f>TEXT(Tabela1[[#This Row],[Data]],"dddd")</f>
        <v>wtorek</v>
      </c>
      <c r="D134">
        <f>WEEKNUM(Tabela1[[#This Row],[Data]],2)</f>
        <v>31</v>
      </c>
      <c r="E134" t="str">
        <f>IF(WEEKDAY(Tabela1[[#This Row],[Data]],2)&gt;5,"TAK","NIE")</f>
        <v>NIE</v>
      </c>
      <c r="F134" s="2">
        <f>IF(Tabela1[[#This Row],[Wypadki drogowe]]=0,0,Tabela1[[#This Row],[Zabici w wypadkach]]/Tabela1[[#This Row],[Wypadki drogowe]])</f>
        <v>6.6666666666666666E-2</v>
      </c>
      <c r="G134" s="40">
        <f>(Tabela1[[#This Row],[Zatrzymani na gorącym uczynku]]/Tabela1[[#This Row],[Interwencje]])*1000</f>
        <v>32.163564235581326</v>
      </c>
      <c r="H134">
        <v>16385</v>
      </c>
      <c r="I134">
        <v>527</v>
      </c>
      <c r="J134">
        <v>571</v>
      </c>
      <c r="K134">
        <v>233</v>
      </c>
      <c r="L134">
        <v>60</v>
      </c>
      <c r="M134">
        <v>4</v>
      </c>
      <c r="N134">
        <v>65</v>
      </c>
    </row>
    <row r="135" spans="1:14" x14ac:dyDescent="0.3">
      <c r="A135" s="1">
        <v>45866</v>
      </c>
      <c r="B135" s="1" t="str">
        <f>TEXT(Tabela1[[#This Row],[Data]],"mmmm")</f>
        <v>lipiec</v>
      </c>
      <c r="C135" s="1" t="str">
        <f>TEXT(Tabela1[[#This Row],[Data]],"dddd")</f>
        <v>poniedziałek</v>
      </c>
      <c r="D135">
        <f>WEEKNUM(Tabela1[[#This Row],[Data]],2)</f>
        <v>31</v>
      </c>
      <c r="E135" t="str">
        <f>IF(WEEKDAY(Tabela1[[#This Row],[Data]],2)&gt;5,"TAK","NIE")</f>
        <v>NIE</v>
      </c>
      <c r="F135" s="2">
        <f>IF(Tabela1[[#This Row],[Wypadki drogowe]]=0,0,Tabela1[[#This Row],[Zabici w wypadkach]]/Tabela1[[#This Row],[Wypadki drogowe]])</f>
        <v>8.2191780821917804E-2</v>
      </c>
      <c r="G135" s="40">
        <f>(Tabela1[[#This Row],[Zatrzymani na gorącym uczynku]]/Tabela1[[#This Row],[Interwencje]])*1000</f>
        <v>31.787488852083065</v>
      </c>
      <c r="H135">
        <v>15698</v>
      </c>
      <c r="I135">
        <v>499</v>
      </c>
      <c r="J135">
        <v>378</v>
      </c>
      <c r="K135">
        <v>276</v>
      </c>
      <c r="L135">
        <v>73</v>
      </c>
      <c r="M135">
        <v>6</v>
      </c>
      <c r="N135">
        <v>86</v>
      </c>
    </row>
    <row r="136" spans="1:14" x14ac:dyDescent="0.3">
      <c r="A136" s="1">
        <v>45865</v>
      </c>
      <c r="B136" s="1" t="str">
        <f>TEXT(Tabela1[[#This Row],[Data]],"mmmm")</f>
        <v>lipiec</v>
      </c>
      <c r="C136" s="1" t="str">
        <f>TEXT(Tabela1[[#This Row],[Data]],"dddd")</f>
        <v>niedziela</v>
      </c>
      <c r="D136">
        <f>WEEKNUM(Tabela1[[#This Row],[Data]],2)</f>
        <v>30</v>
      </c>
      <c r="E136" t="str">
        <f>IF(WEEKDAY(Tabela1[[#This Row],[Data]],2)&gt;5,"TAK","NIE")</f>
        <v>TAK</v>
      </c>
      <c r="F136" s="2">
        <f>IF(Tabela1[[#This Row],[Wypadki drogowe]]=0,0,Tabela1[[#This Row],[Zabici w wypadkach]]/Tabela1[[#This Row],[Wypadki drogowe]])</f>
        <v>0.140625</v>
      </c>
      <c r="G136" s="40">
        <f>(Tabela1[[#This Row],[Zatrzymani na gorącym uczynku]]/Tabela1[[#This Row],[Interwencje]])*1000</f>
        <v>33.609777389786117</v>
      </c>
      <c r="H136">
        <v>16037</v>
      </c>
      <c r="I136">
        <v>539</v>
      </c>
      <c r="J136">
        <v>215</v>
      </c>
      <c r="K136">
        <v>324</v>
      </c>
      <c r="L136">
        <v>64</v>
      </c>
      <c r="M136">
        <v>9</v>
      </c>
      <c r="N136">
        <v>79</v>
      </c>
    </row>
    <row r="137" spans="1:14" x14ac:dyDescent="0.3">
      <c r="A137" s="1">
        <v>45864</v>
      </c>
      <c r="B137" s="1" t="str">
        <f>TEXT(Tabela1[[#This Row],[Data]],"mmmm")</f>
        <v>lipiec</v>
      </c>
      <c r="C137" s="1" t="str">
        <f>TEXT(Tabela1[[#This Row],[Data]],"dddd")</f>
        <v>sobota</v>
      </c>
      <c r="D137">
        <f>WEEKNUM(Tabela1[[#This Row],[Data]],2)</f>
        <v>30</v>
      </c>
      <c r="E137" t="str">
        <f>IF(WEEKDAY(Tabela1[[#This Row],[Data]],2)&gt;5,"TAK","NIE")</f>
        <v>TAK</v>
      </c>
      <c r="F137" s="2">
        <f>IF(Tabela1[[#This Row],[Wypadki drogowe]]=0,0,Tabela1[[#This Row],[Zabici w wypadkach]]/Tabela1[[#This Row],[Wypadki drogowe]])</f>
        <v>4.4117647058823532E-2</v>
      </c>
      <c r="G137" s="40">
        <f>(Tabela1[[#This Row],[Zatrzymani na gorącym uczynku]]/Tabela1[[#This Row],[Interwencje]])*1000</f>
        <v>37.742005655862521</v>
      </c>
      <c r="H137">
        <v>18388</v>
      </c>
      <c r="I137">
        <v>694</v>
      </c>
      <c r="J137">
        <v>241</v>
      </c>
      <c r="K137">
        <v>434</v>
      </c>
      <c r="L137">
        <v>68</v>
      </c>
      <c r="M137">
        <v>3</v>
      </c>
      <c r="N137">
        <v>77</v>
      </c>
    </row>
    <row r="138" spans="1:14" x14ac:dyDescent="0.3">
      <c r="A138" s="1">
        <v>45863</v>
      </c>
      <c r="B138" s="1" t="str">
        <f>TEXT(Tabela1[[#This Row],[Data]],"mmmm")</f>
        <v>lipiec</v>
      </c>
      <c r="C138" s="1" t="str">
        <f>TEXT(Tabela1[[#This Row],[Data]],"dddd")</f>
        <v>piątek</v>
      </c>
      <c r="D138">
        <f>WEEKNUM(Tabela1[[#This Row],[Data]],2)</f>
        <v>30</v>
      </c>
      <c r="E138" t="str">
        <f>IF(WEEKDAY(Tabela1[[#This Row],[Data]],2)&gt;5,"TAK","NIE")</f>
        <v>NIE</v>
      </c>
      <c r="F138" s="2">
        <f>IF(Tabela1[[#This Row],[Wypadki drogowe]]=0,0,Tabela1[[#This Row],[Zabici w wypadkach]]/Tabela1[[#This Row],[Wypadki drogowe]])</f>
        <v>5.128205128205128E-2</v>
      </c>
      <c r="G138" s="40">
        <f>(Tabela1[[#This Row],[Zatrzymani na gorącym uczynku]]/Tabela1[[#This Row],[Interwencje]])*1000</f>
        <v>31.757233592095979</v>
      </c>
      <c r="H138">
        <v>18421</v>
      </c>
      <c r="I138">
        <v>585</v>
      </c>
      <c r="J138">
        <v>370</v>
      </c>
      <c r="K138">
        <v>274</v>
      </c>
      <c r="L138">
        <v>78</v>
      </c>
      <c r="M138">
        <v>4</v>
      </c>
      <c r="N138">
        <v>90</v>
      </c>
    </row>
    <row r="139" spans="1:14" x14ac:dyDescent="0.3">
      <c r="A139" s="1">
        <v>45862</v>
      </c>
      <c r="B139" s="1" t="str">
        <f>TEXT(Tabela1[[#This Row],[Data]],"mmmm")</f>
        <v>lipiec</v>
      </c>
      <c r="C139" s="1" t="str">
        <f>TEXT(Tabela1[[#This Row],[Data]],"dddd")</f>
        <v>czwartek</v>
      </c>
      <c r="D139">
        <f>WEEKNUM(Tabela1[[#This Row],[Data]],2)</f>
        <v>30</v>
      </c>
      <c r="E139" t="str">
        <f>IF(WEEKDAY(Tabela1[[#This Row],[Data]],2)&gt;5,"TAK","NIE")</f>
        <v>NIE</v>
      </c>
      <c r="F139" s="2">
        <f>IF(Tabela1[[#This Row],[Wypadki drogowe]]=0,0,Tabela1[[#This Row],[Zabici w wypadkach]]/Tabela1[[#This Row],[Wypadki drogowe]])</f>
        <v>7.0422535211267609E-2</v>
      </c>
      <c r="G139" s="40">
        <f>(Tabela1[[#This Row],[Zatrzymani na gorącym uczynku]]/Tabela1[[#This Row],[Interwencje]])*1000</f>
        <v>36.499353473609972</v>
      </c>
      <c r="H139">
        <v>17014</v>
      </c>
      <c r="I139">
        <v>621</v>
      </c>
      <c r="J139">
        <v>482</v>
      </c>
      <c r="K139">
        <v>284</v>
      </c>
      <c r="L139">
        <v>71</v>
      </c>
      <c r="M139">
        <v>5</v>
      </c>
      <c r="N139">
        <v>72</v>
      </c>
    </row>
    <row r="140" spans="1:14" x14ac:dyDescent="0.3">
      <c r="A140" s="1">
        <v>45861</v>
      </c>
      <c r="B140" s="1" t="str">
        <f>TEXT(Tabela1[[#This Row],[Data]],"mmmm")</f>
        <v>lipiec</v>
      </c>
      <c r="C140" s="1" t="str">
        <f>TEXT(Tabela1[[#This Row],[Data]],"dddd")</f>
        <v>środa</v>
      </c>
      <c r="D140">
        <f>WEEKNUM(Tabela1[[#This Row],[Data]],2)</f>
        <v>30</v>
      </c>
      <c r="E140" t="str">
        <f>IF(WEEKDAY(Tabela1[[#This Row],[Data]],2)&gt;5,"TAK","NIE")</f>
        <v>NIE</v>
      </c>
      <c r="F140" s="2">
        <f>IF(Tabela1[[#This Row],[Wypadki drogowe]]=0,0,Tabela1[[#This Row],[Zabici w wypadkach]]/Tabela1[[#This Row],[Wypadki drogowe]])</f>
        <v>1.2987012987012988E-2</v>
      </c>
      <c r="G140" s="40">
        <f>(Tabela1[[#This Row],[Zatrzymani na gorącym uczynku]]/Tabela1[[#This Row],[Interwencje]])*1000</f>
        <v>36.387814313346226</v>
      </c>
      <c r="H140">
        <v>16544</v>
      </c>
      <c r="I140">
        <v>602</v>
      </c>
      <c r="J140">
        <v>503</v>
      </c>
      <c r="K140">
        <v>306</v>
      </c>
      <c r="L140">
        <v>77</v>
      </c>
      <c r="M140">
        <v>1</v>
      </c>
      <c r="N140">
        <v>93</v>
      </c>
    </row>
    <row r="141" spans="1:14" x14ac:dyDescent="0.3">
      <c r="A141" s="1">
        <v>45860</v>
      </c>
      <c r="B141" s="1" t="str">
        <f>TEXT(Tabela1[[#This Row],[Data]],"mmmm")</f>
        <v>lipiec</v>
      </c>
      <c r="C141" s="1" t="str">
        <f>TEXT(Tabela1[[#This Row],[Data]],"dddd")</f>
        <v>wtorek</v>
      </c>
      <c r="D141">
        <f>WEEKNUM(Tabela1[[#This Row],[Data]],2)</f>
        <v>30</v>
      </c>
      <c r="E141" t="str">
        <f>IF(WEEKDAY(Tabela1[[#This Row],[Data]],2)&gt;5,"TAK","NIE")</f>
        <v>NIE</v>
      </c>
      <c r="F141" s="2">
        <f>IF(Tabela1[[#This Row],[Wypadki drogowe]]=0,0,Tabela1[[#This Row],[Zabici w wypadkach]]/Tabela1[[#This Row],[Wypadki drogowe]])</f>
        <v>2.8169014084507043E-2</v>
      </c>
      <c r="G141" s="40">
        <f>(Tabela1[[#This Row],[Zatrzymani na gorącym uczynku]]/Tabela1[[#This Row],[Interwencje]])*1000</f>
        <v>33.135242211417257</v>
      </c>
      <c r="H141">
        <v>16659</v>
      </c>
      <c r="I141">
        <v>552</v>
      </c>
      <c r="J141">
        <v>482</v>
      </c>
      <c r="K141">
        <v>259</v>
      </c>
      <c r="L141">
        <v>71</v>
      </c>
      <c r="M141">
        <v>2</v>
      </c>
      <c r="N141">
        <v>88</v>
      </c>
    </row>
    <row r="142" spans="1:14" x14ac:dyDescent="0.3">
      <c r="A142" s="1">
        <v>45859</v>
      </c>
      <c r="B142" s="1" t="str">
        <f>TEXT(Tabela1[[#This Row],[Data]],"mmmm")</f>
        <v>lipiec</v>
      </c>
      <c r="C142" s="1" t="str">
        <f>TEXT(Tabela1[[#This Row],[Data]],"dddd")</f>
        <v>poniedziałek</v>
      </c>
      <c r="D142">
        <f>WEEKNUM(Tabela1[[#This Row],[Data]],2)</f>
        <v>30</v>
      </c>
      <c r="E142" t="str">
        <f>IF(WEEKDAY(Tabela1[[#This Row],[Data]],2)&gt;5,"TAK","NIE")</f>
        <v>NIE</v>
      </c>
      <c r="F142" s="2">
        <f>IF(Tabela1[[#This Row],[Wypadki drogowe]]=0,0,Tabela1[[#This Row],[Zabici w wypadkach]]/Tabela1[[#This Row],[Wypadki drogowe]])</f>
        <v>7.6923076923076927E-2</v>
      </c>
      <c r="G142" s="40">
        <f>(Tabela1[[#This Row],[Zatrzymani na gorącym uczynku]]/Tabela1[[#This Row],[Interwencje]])*1000</f>
        <v>43.232323232323232</v>
      </c>
      <c r="H142">
        <v>17325</v>
      </c>
      <c r="I142">
        <v>749</v>
      </c>
      <c r="J142">
        <v>341</v>
      </c>
      <c r="K142">
        <v>470</v>
      </c>
      <c r="L142">
        <v>91</v>
      </c>
      <c r="M142">
        <v>7</v>
      </c>
      <c r="N142">
        <v>100</v>
      </c>
    </row>
    <row r="143" spans="1:14" x14ac:dyDescent="0.3">
      <c r="A143" s="1">
        <v>45858</v>
      </c>
      <c r="B143" s="1" t="str">
        <f>TEXT(Tabela1[[#This Row],[Data]],"mmmm")</f>
        <v>lipiec</v>
      </c>
      <c r="C143" s="1" t="str">
        <f>TEXT(Tabela1[[#This Row],[Data]],"dddd")</f>
        <v>niedziela</v>
      </c>
      <c r="D143">
        <f>WEEKNUM(Tabela1[[#This Row],[Data]],2)</f>
        <v>29</v>
      </c>
      <c r="E143" t="str">
        <f>IF(WEEKDAY(Tabela1[[#This Row],[Data]],2)&gt;5,"TAK","NIE")</f>
        <v>TAK</v>
      </c>
      <c r="F143" s="2">
        <f>IF(Tabela1[[#This Row],[Wypadki drogowe]]=0,0,Tabela1[[#This Row],[Zabici w wypadkach]]/Tabela1[[#This Row],[Wypadki drogowe]])</f>
        <v>5.9701492537313432E-2</v>
      </c>
      <c r="G143" s="40">
        <f>(Tabela1[[#This Row],[Zatrzymani na gorącym uczynku]]/Tabela1[[#This Row],[Interwencje]])*1000</f>
        <v>32.706066253832745</v>
      </c>
      <c r="H143">
        <v>16633</v>
      </c>
      <c r="I143">
        <v>544</v>
      </c>
      <c r="J143">
        <v>233</v>
      </c>
      <c r="K143">
        <v>311</v>
      </c>
      <c r="L143">
        <v>67</v>
      </c>
      <c r="M143">
        <v>4</v>
      </c>
      <c r="N143">
        <v>73</v>
      </c>
    </row>
    <row r="144" spans="1:14" x14ac:dyDescent="0.3">
      <c r="A144" s="1">
        <v>45857</v>
      </c>
      <c r="B144" s="1" t="str">
        <f>TEXT(Tabela1[[#This Row],[Data]],"mmmm")</f>
        <v>lipiec</v>
      </c>
      <c r="C144" s="1" t="str">
        <f>TEXT(Tabela1[[#This Row],[Data]],"dddd")</f>
        <v>sobota</v>
      </c>
      <c r="D144">
        <f>WEEKNUM(Tabela1[[#This Row],[Data]],2)</f>
        <v>29</v>
      </c>
      <c r="E144" t="str">
        <f>IF(WEEKDAY(Tabela1[[#This Row],[Data]],2)&gt;5,"TAK","NIE")</f>
        <v>TAK</v>
      </c>
      <c r="F144" s="2">
        <f>IF(Tabela1[[#This Row],[Wypadki drogowe]]=0,0,Tabela1[[#This Row],[Zabici w wypadkach]]/Tabela1[[#This Row],[Wypadki drogowe]])</f>
        <v>8.0459770114942528E-2</v>
      </c>
      <c r="G144" s="40">
        <f>(Tabela1[[#This Row],[Zatrzymani na gorącym uczynku]]/Tabela1[[#This Row],[Interwencje]])*1000</f>
        <v>31.084515992374499</v>
      </c>
      <c r="H144">
        <v>18884</v>
      </c>
      <c r="I144">
        <v>587</v>
      </c>
      <c r="J144">
        <v>249</v>
      </c>
      <c r="K144">
        <v>364</v>
      </c>
      <c r="L144">
        <v>87</v>
      </c>
      <c r="M144">
        <v>7</v>
      </c>
      <c r="N144">
        <v>97</v>
      </c>
    </row>
    <row r="145" spans="1:14" x14ac:dyDescent="0.3">
      <c r="A145" s="1">
        <v>45856</v>
      </c>
      <c r="B145" s="1" t="str">
        <f>TEXT(Tabela1[[#This Row],[Data]],"mmmm")</f>
        <v>lipiec</v>
      </c>
      <c r="C145" s="1" t="str">
        <f>TEXT(Tabela1[[#This Row],[Data]],"dddd")</f>
        <v>piątek</v>
      </c>
      <c r="D145">
        <f>WEEKNUM(Tabela1[[#This Row],[Data]],2)</f>
        <v>29</v>
      </c>
      <c r="E145" t="str">
        <f>IF(WEEKDAY(Tabela1[[#This Row],[Data]],2)&gt;5,"TAK","NIE")</f>
        <v>NIE</v>
      </c>
      <c r="F145" s="2">
        <f>IF(Tabela1[[#This Row],[Wypadki drogowe]]=0,0,Tabela1[[#This Row],[Zabici w wypadkach]]/Tabela1[[#This Row],[Wypadki drogowe]])</f>
        <v>4.5454545454545456E-2</v>
      </c>
      <c r="G145" s="40">
        <f>(Tabela1[[#This Row],[Zatrzymani na gorącym uczynku]]/Tabela1[[#This Row],[Interwencje]])*1000</f>
        <v>29.786511127470412</v>
      </c>
      <c r="H145">
        <v>17659</v>
      </c>
      <c r="I145">
        <v>526</v>
      </c>
      <c r="J145">
        <v>379</v>
      </c>
      <c r="K145">
        <v>315</v>
      </c>
      <c r="L145">
        <v>66</v>
      </c>
      <c r="M145">
        <v>3</v>
      </c>
      <c r="N145">
        <v>77</v>
      </c>
    </row>
    <row r="146" spans="1:14" x14ac:dyDescent="0.3">
      <c r="A146" s="1">
        <v>45855</v>
      </c>
      <c r="B146" s="1" t="str">
        <f>TEXT(Tabela1[[#This Row],[Data]],"mmmm")</f>
        <v>lipiec</v>
      </c>
      <c r="C146" s="1" t="str">
        <f>TEXT(Tabela1[[#This Row],[Data]],"dddd")</f>
        <v>czwartek</v>
      </c>
      <c r="D146">
        <f>WEEKNUM(Tabela1[[#This Row],[Data]],2)</f>
        <v>29</v>
      </c>
      <c r="E146" t="str">
        <f>IF(WEEKDAY(Tabela1[[#This Row],[Data]],2)&gt;5,"TAK","NIE")</f>
        <v>NIE</v>
      </c>
      <c r="F146" s="2">
        <f>IF(Tabela1[[#This Row],[Wypadki drogowe]]=0,0,Tabela1[[#This Row],[Zabici w wypadkach]]/Tabela1[[#This Row],[Wypadki drogowe]])</f>
        <v>0.19047619047619047</v>
      </c>
      <c r="G146" s="40">
        <f>(Tabela1[[#This Row],[Zatrzymani na gorącym uczynku]]/Tabela1[[#This Row],[Interwencje]])*1000</f>
        <v>35.850115343849367</v>
      </c>
      <c r="H146">
        <v>16039</v>
      </c>
      <c r="I146">
        <v>575</v>
      </c>
      <c r="J146">
        <v>419</v>
      </c>
      <c r="K146">
        <v>245</v>
      </c>
      <c r="L146">
        <v>63</v>
      </c>
      <c r="M146">
        <v>12</v>
      </c>
      <c r="N146">
        <v>72</v>
      </c>
    </row>
    <row r="147" spans="1:14" x14ac:dyDescent="0.3">
      <c r="A147" s="1">
        <v>45854</v>
      </c>
      <c r="B147" s="1" t="str">
        <f>TEXT(Tabela1[[#This Row],[Data]],"mmmm")</f>
        <v>lipiec</v>
      </c>
      <c r="C147" s="1" t="str">
        <f>TEXT(Tabela1[[#This Row],[Data]],"dddd")</f>
        <v>środa</v>
      </c>
      <c r="D147">
        <f>WEEKNUM(Tabela1[[#This Row],[Data]],2)</f>
        <v>29</v>
      </c>
      <c r="E147" t="str">
        <f>IF(WEEKDAY(Tabela1[[#This Row],[Data]],2)&gt;5,"TAK","NIE")</f>
        <v>NIE</v>
      </c>
      <c r="F147" s="2">
        <f>IF(Tabela1[[#This Row],[Wypadki drogowe]]=0,0,Tabela1[[#This Row],[Zabici w wypadkach]]/Tabela1[[#This Row],[Wypadki drogowe]])</f>
        <v>8.9285714285714288E-2</v>
      </c>
      <c r="G147" s="40">
        <f>(Tabela1[[#This Row],[Zatrzymani na gorącym uczynku]]/Tabela1[[#This Row],[Interwencje]])*1000</f>
        <v>37.714781961416783</v>
      </c>
      <c r="H147">
        <v>16121</v>
      </c>
      <c r="I147">
        <v>608</v>
      </c>
      <c r="J147">
        <v>460</v>
      </c>
      <c r="K147">
        <v>278</v>
      </c>
      <c r="L147">
        <v>56</v>
      </c>
      <c r="M147">
        <v>5</v>
      </c>
      <c r="N147">
        <v>62</v>
      </c>
    </row>
    <row r="148" spans="1:14" x14ac:dyDescent="0.3">
      <c r="A148" s="1">
        <v>45853</v>
      </c>
      <c r="B148" s="1" t="str">
        <f>TEXT(Tabela1[[#This Row],[Data]],"mmmm")</f>
        <v>lipiec</v>
      </c>
      <c r="C148" s="1" t="str">
        <f>TEXT(Tabela1[[#This Row],[Data]],"dddd")</f>
        <v>wtorek</v>
      </c>
      <c r="D148">
        <f>WEEKNUM(Tabela1[[#This Row],[Data]],2)</f>
        <v>29</v>
      </c>
      <c r="E148" t="str">
        <f>IF(WEEKDAY(Tabela1[[#This Row],[Data]],2)&gt;5,"TAK","NIE")</f>
        <v>NIE</v>
      </c>
      <c r="F148" s="2">
        <f>IF(Tabela1[[#This Row],[Wypadki drogowe]]=0,0,Tabela1[[#This Row],[Zabici w wypadkach]]/Tabela1[[#This Row],[Wypadki drogowe]])</f>
        <v>6.3829787234042548E-2</v>
      </c>
      <c r="G148" s="40">
        <f>(Tabela1[[#This Row],[Zatrzymani na gorącym uczynku]]/Tabela1[[#This Row],[Interwencje]])*1000</f>
        <v>35.344156233151615</v>
      </c>
      <c r="H148">
        <v>16693</v>
      </c>
      <c r="I148">
        <v>590</v>
      </c>
      <c r="J148">
        <v>484</v>
      </c>
      <c r="K148">
        <v>271</v>
      </c>
      <c r="L148">
        <v>47</v>
      </c>
      <c r="M148">
        <v>3</v>
      </c>
      <c r="N148">
        <v>56</v>
      </c>
    </row>
    <row r="149" spans="1:14" x14ac:dyDescent="0.3">
      <c r="A149" s="1">
        <v>45852</v>
      </c>
      <c r="B149" s="1" t="str">
        <f>TEXT(Tabela1[[#This Row],[Data]],"mmmm")</f>
        <v>lipiec</v>
      </c>
      <c r="C149" s="1" t="str">
        <f>TEXT(Tabela1[[#This Row],[Data]],"dddd")</f>
        <v>poniedziałek</v>
      </c>
      <c r="D149">
        <f>WEEKNUM(Tabela1[[#This Row],[Data]],2)</f>
        <v>29</v>
      </c>
      <c r="E149" t="str">
        <f>IF(WEEKDAY(Tabela1[[#This Row],[Data]],2)&gt;5,"TAK","NIE")</f>
        <v>NIE</v>
      </c>
      <c r="F149" s="2">
        <f>IF(Tabela1[[#This Row],[Wypadki drogowe]]=0,0,Tabela1[[#This Row],[Zabici w wypadkach]]/Tabela1[[#This Row],[Wypadki drogowe]])</f>
        <v>3.5087719298245612E-2</v>
      </c>
      <c r="G149" s="40">
        <f>(Tabela1[[#This Row],[Zatrzymani na gorącym uczynku]]/Tabela1[[#This Row],[Interwencje]])*1000</f>
        <v>37.792582984493841</v>
      </c>
      <c r="H149">
        <v>16961</v>
      </c>
      <c r="I149">
        <v>641</v>
      </c>
      <c r="J149">
        <v>374</v>
      </c>
      <c r="K149">
        <v>368</v>
      </c>
      <c r="L149">
        <v>57</v>
      </c>
      <c r="M149">
        <v>2</v>
      </c>
      <c r="N149">
        <v>64</v>
      </c>
    </row>
    <row r="150" spans="1:14" x14ac:dyDescent="0.3">
      <c r="A150" s="1">
        <v>45851</v>
      </c>
      <c r="B150" s="1" t="str">
        <f>TEXT(Tabela1[[#This Row],[Data]],"mmmm")</f>
        <v>lipiec</v>
      </c>
      <c r="C150" s="1" t="str">
        <f>TEXT(Tabela1[[#This Row],[Data]],"dddd")</f>
        <v>niedziela</v>
      </c>
      <c r="D150">
        <f>WEEKNUM(Tabela1[[#This Row],[Data]],2)</f>
        <v>28</v>
      </c>
      <c r="E150" t="str">
        <f>IF(WEEKDAY(Tabela1[[#This Row],[Data]],2)&gt;5,"TAK","NIE")</f>
        <v>TAK</v>
      </c>
      <c r="F150" s="2">
        <f>IF(Tabela1[[#This Row],[Wypadki drogowe]]=0,0,Tabela1[[#This Row],[Zabici w wypadkach]]/Tabela1[[#This Row],[Wypadki drogowe]])</f>
        <v>8.6206896551724144E-2</v>
      </c>
      <c r="G150" s="40">
        <f>(Tabela1[[#This Row],[Zatrzymani na gorącym uczynku]]/Tabela1[[#This Row],[Interwencje]])*1000</f>
        <v>41.36300965136892</v>
      </c>
      <c r="H150">
        <v>15231</v>
      </c>
      <c r="I150">
        <v>630</v>
      </c>
      <c r="J150">
        <v>235</v>
      </c>
      <c r="K150">
        <v>362</v>
      </c>
      <c r="L150">
        <v>58</v>
      </c>
      <c r="M150">
        <v>5</v>
      </c>
      <c r="N150">
        <v>78</v>
      </c>
    </row>
    <row r="151" spans="1:14" x14ac:dyDescent="0.3">
      <c r="A151" s="1">
        <v>45850</v>
      </c>
      <c r="B151" s="1" t="str">
        <f>TEXT(Tabela1[[#This Row],[Data]],"mmmm")</f>
        <v>lipiec</v>
      </c>
      <c r="C151" s="1" t="str">
        <f>TEXT(Tabela1[[#This Row],[Data]],"dddd")</f>
        <v>sobota</v>
      </c>
      <c r="D151">
        <f>WEEKNUM(Tabela1[[#This Row],[Data]],2)</f>
        <v>28</v>
      </c>
      <c r="E151" t="str">
        <f>IF(WEEKDAY(Tabela1[[#This Row],[Data]],2)&gt;5,"TAK","NIE")</f>
        <v>TAK</v>
      </c>
      <c r="F151" s="2">
        <f>IF(Tabela1[[#This Row],[Wypadki drogowe]]=0,0,Tabela1[[#This Row],[Zabici w wypadkach]]/Tabela1[[#This Row],[Wypadki drogowe]])</f>
        <v>3.3333333333333333E-2</v>
      </c>
      <c r="G151" s="40">
        <f>(Tabela1[[#This Row],[Zatrzymani na gorącym uczynku]]/Tabela1[[#This Row],[Interwencje]])*1000</f>
        <v>40.533457573816314</v>
      </c>
      <c r="H151">
        <v>17171</v>
      </c>
      <c r="I151">
        <v>696</v>
      </c>
      <c r="J151">
        <v>271</v>
      </c>
      <c r="K151">
        <v>365</v>
      </c>
      <c r="L151">
        <v>60</v>
      </c>
      <c r="M151">
        <v>2</v>
      </c>
      <c r="N151">
        <v>77</v>
      </c>
    </row>
    <row r="152" spans="1:14" x14ac:dyDescent="0.3">
      <c r="A152" s="1">
        <v>45849</v>
      </c>
      <c r="B152" s="1" t="str">
        <f>TEXT(Tabela1[[#This Row],[Data]],"mmmm")</f>
        <v>lipiec</v>
      </c>
      <c r="C152" s="1" t="str">
        <f>TEXT(Tabela1[[#This Row],[Data]],"dddd")</f>
        <v>piątek</v>
      </c>
      <c r="D152">
        <f>WEEKNUM(Tabela1[[#This Row],[Data]],2)</f>
        <v>28</v>
      </c>
      <c r="E152" t="str">
        <f>IF(WEEKDAY(Tabela1[[#This Row],[Data]],2)&gt;5,"TAK","NIE")</f>
        <v>NIE</v>
      </c>
      <c r="F152" s="2">
        <f>IF(Tabela1[[#This Row],[Wypadki drogowe]]=0,0,Tabela1[[#This Row],[Zabici w wypadkach]]/Tabela1[[#This Row],[Wypadki drogowe]])</f>
        <v>0.13559322033898305</v>
      </c>
      <c r="G152" s="40">
        <f>(Tabela1[[#This Row],[Zatrzymani na gorącym uczynku]]/Tabela1[[#This Row],[Interwencje]])*1000</f>
        <v>34.665099882491191</v>
      </c>
      <c r="H152">
        <v>17020</v>
      </c>
      <c r="I152">
        <v>590</v>
      </c>
      <c r="J152">
        <v>396</v>
      </c>
      <c r="K152">
        <v>281</v>
      </c>
      <c r="L152">
        <v>59</v>
      </c>
      <c r="M152">
        <v>8</v>
      </c>
      <c r="N152">
        <v>71</v>
      </c>
    </row>
    <row r="153" spans="1:14" x14ac:dyDescent="0.3">
      <c r="A153" s="1">
        <v>45848</v>
      </c>
      <c r="B153" s="1" t="str">
        <f>TEXT(Tabela1[[#This Row],[Data]],"mmmm")</f>
        <v>lipiec</v>
      </c>
      <c r="C153" s="1" t="str">
        <f>TEXT(Tabela1[[#This Row],[Data]],"dddd")</f>
        <v>czwartek</v>
      </c>
      <c r="D153">
        <f>WEEKNUM(Tabela1[[#This Row],[Data]],2)</f>
        <v>28</v>
      </c>
      <c r="E153" t="str">
        <f>IF(WEEKDAY(Tabela1[[#This Row],[Data]],2)&gt;5,"TAK","NIE")</f>
        <v>NIE</v>
      </c>
      <c r="F153" s="2">
        <f>IF(Tabela1[[#This Row],[Wypadki drogowe]]=0,0,Tabela1[[#This Row],[Zabici w wypadkach]]/Tabela1[[#This Row],[Wypadki drogowe]])</f>
        <v>8.5106382978723402E-2</v>
      </c>
      <c r="G153" s="40">
        <f>(Tabela1[[#This Row],[Zatrzymani na gorącym uczynku]]/Tabela1[[#This Row],[Interwencje]])*1000</f>
        <v>34.751951649458576</v>
      </c>
      <c r="H153">
        <v>15884</v>
      </c>
      <c r="I153">
        <v>552</v>
      </c>
      <c r="J153">
        <v>473</v>
      </c>
      <c r="K153">
        <v>266</v>
      </c>
      <c r="L153">
        <v>47</v>
      </c>
      <c r="M153">
        <v>4</v>
      </c>
      <c r="N153">
        <v>62</v>
      </c>
    </row>
    <row r="154" spans="1:14" x14ac:dyDescent="0.3">
      <c r="A154" s="1">
        <v>45847</v>
      </c>
      <c r="B154" s="1" t="str">
        <f>TEXT(Tabela1[[#This Row],[Data]],"mmmm")</f>
        <v>lipiec</v>
      </c>
      <c r="C154" s="1" t="str">
        <f>TEXT(Tabela1[[#This Row],[Data]],"dddd")</f>
        <v>środa</v>
      </c>
      <c r="D154">
        <f>WEEKNUM(Tabela1[[#This Row],[Data]],2)</f>
        <v>28</v>
      </c>
      <c r="E154" t="str">
        <f>IF(WEEKDAY(Tabela1[[#This Row],[Data]],2)&gt;5,"TAK","NIE")</f>
        <v>NIE</v>
      </c>
      <c r="F154" s="2">
        <f>IF(Tabela1[[#This Row],[Wypadki drogowe]]=0,0,Tabela1[[#This Row],[Zabici w wypadkach]]/Tabela1[[#This Row],[Wypadki drogowe]])</f>
        <v>3.0769230769230771E-2</v>
      </c>
      <c r="G154" s="40">
        <f>(Tabela1[[#This Row],[Zatrzymani na gorącym uczynku]]/Tabela1[[#This Row],[Interwencje]])*1000</f>
        <v>36.475166545742361</v>
      </c>
      <c r="H154">
        <v>15161</v>
      </c>
      <c r="I154">
        <v>553</v>
      </c>
      <c r="J154">
        <v>439</v>
      </c>
      <c r="K154">
        <v>233</v>
      </c>
      <c r="L154">
        <v>65</v>
      </c>
      <c r="M154">
        <v>2</v>
      </c>
      <c r="N154">
        <v>78</v>
      </c>
    </row>
    <row r="155" spans="1:14" x14ac:dyDescent="0.3">
      <c r="A155" s="1">
        <v>45846</v>
      </c>
      <c r="B155" s="1" t="str">
        <f>TEXT(Tabela1[[#This Row],[Data]],"mmmm")</f>
        <v>lipiec</v>
      </c>
      <c r="C155" s="1" t="str">
        <f>TEXT(Tabela1[[#This Row],[Data]],"dddd")</f>
        <v>wtorek</v>
      </c>
      <c r="D155">
        <f>WEEKNUM(Tabela1[[#This Row],[Data]],2)</f>
        <v>28</v>
      </c>
      <c r="E155" t="str">
        <f>IF(WEEKDAY(Tabela1[[#This Row],[Data]],2)&gt;5,"TAK","NIE")</f>
        <v>NIE</v>
      </c>
      <c r="F155" s="2">
        <f>IF(Tabela1[[#This Row],[Wypadki drogowe]]=0,0,Tabela1[[#This Row],[Zabici w wypadkach]]/Tabela1[[#This Row],[Wypadki drogowe]])</f>
        <v>4.4117647058823532E-2</v>
      </c>
      <c r="G155" s="40">
        <f>(Tabela1[[#This Row],[Zatrzymani na gorącym uczynku]]/Tabela1[[#This Row],[Interwencje]])*1000</f>
        <v>35.014988200778113</v>
      </c>
      <c r="H155">
        <v>15679</v>
      </c>
      <c r="I155">
        <v>549</v>
      </c>
      <c r="J155">
        <v>453</v>
      </c>
      <c r="K155">
        <v>274</v>
      </c>
      <c r="L155">
        <v>68</v>
      </c>
      <c r="M155">
        <v>3</v>
      </c>
      <c r="N155">
        <v>76</v>
      </c>
    </row>
    <row r="156" spans="1:14" x14ac:dyDescent="0.3">
      <c r="A156" s="1">
        <v>45845</v>
      </c>
      <c r="B156" s="1" t="str">
        <f>TEXT(Tabela1[[#This Row],[Data]],"mmmm")</f>
        <v>lipiec</v>
      </c>
      <c r="C156" s="1" t="str">
        <f>TEXT(Tabela1[[#This Row],[Data]],"dddd")</f>
        <v>poniedziałek</v>
      </c>
      <c r="D156">
        <f>WEEKNUM(Tabela1[[#This Row],[Data]],2)</f>
        <v>28</v>
      </c>
      <c r="E156" t="str">
        <f>IF(WEEKDAY(Tabela1[[#This Row],[Data]],2)&gt;5,"TAK","NIE")</f>
        <v>NIE</v>
      </c>
      <c r="F156" s="2">
        <f>IF(Tabela1[[#This Row],[Wypadki drogowe]]=0,0,Tabela1[[#This Row],[Zabici w wypadkach]]/Tabela1[[#This Row],[Wypadki drogowe]])</f>
        <v>1.6129032258064516E-2</v>
      </c>
      <c r="G156" s="40">
        <f>(Tabela1[[#This Row],[Zatrzymani na gorącym uczynku]]/Tabela1[[#This Row],[Interwencje]])*1000</f>
        <v>38.052202865806528</v>
      </c>
      <c r="H156">
        <v>16819</v>
      </c>
      <c r="I156">
        <v>640</v>
      </c>
      <c r="J156">
        <v>356</v>
      </c>
      <c r="K156">
        <v>368</v>
      </c>
      <c r="L156">
        <v>62</v>
      </c>
      <c r="M156">
        <v>1</v>
      </c>
      <c r="N156">
        <v>90</v>
      </c>
    </row>
    <row r="157" spans="1:14" x14ac:dyDescent="0.3">
      <c r="A157" s="1">
        <v>45844</v>
      </c>
      <c r="B157" s="1" t="str">
        <f>TEXT(Tabela1[[#This Row],[Data]],"mmmm")</f>
        <v>lipiec</v>
      </c>
      <c r="C157" s="1" t="str">
        <f>TEXT(Tabela1[[#This Row],[Data]],"dddd")</f>
        <v>niedziela</v>
      </c>
      <c r="D157">
        <f>WEEKNUM(Tabela1[[#This Row],[Data]],2)</f>
        <v>27</v>
      </c>
      <c r="E157" t="str">
        <f>IF(WEEKDAY(Tabela1[[#This Row],[Data]],2)&gt;5,"TAK","NIE")</f>
        <v>TAK</v>
      </c>
      <c r="F157" s="2">
        <f>IF(Tabela1[[#This Row],[Wypadki drogowe]]=0,0,Tabela1[[#This Row],[Zabici w wypadkach]]/Tabela1[[#This Row],[Wypadki drogowe]])</f>
        <v>8.5714285714285715E-2</v>
      </c>
      <c r="G157" s="40">
        <f>(Tabela1[[#This Row],[Zatrzymani na gorącym uczynku]]/Tabela1[[#This Row],[Interwencje]])*1000</f>
        <v>34.235294117647058</v>
      </c>
      <c r="H157">
        <v>17000</v>
      </c>
      <c r="I157">
        <v>582</v>
      </c>
      <c r="J157">
        <v>226</v>
      </c>
      <c r="K157">
        <v>350</v>
      </c>
      <c r="L157">
        <v>70</v>
      </c>
      <c r="M157">
        <v>6</v>
      </c>
      <c r="N157">
        <v>92</v>
      </c>
    </row>
    <row r="158" spans="1:14" x14ac:dyDescent="0.3">
      <c r="A158" s="1">
        <v>45843</v>
      </c>
      <c r="B158" s="1" t="str">
        <f>TEXT(Tabela1[[#This Row],[Data]],"mmmm")</f>
        <v>lipiec</v>
      </c>
      <c r="C158" s="1" t="str">
        <f>TEXT(Tabela1[[#This Row],[Data]],"dddd")</f>
        <v>sobota</v>
      </c>
      <c r="D158">
        <f>WEEKNUM(Tabela1[[#This Row],[Data]],2)</f>
        <v>27</v>
      </c>
      <c r="E158" t="str">
        <f>IF(WEEKDAY(Tabela1[[#This Row],[Data]],2)&gt;5,"TAK","NIE")</f>
        <v>TAK</v>
      </c>
      <c r="F158" s="2">
        <f>IF(Tabela1[[#This Row],[Wypadki drogowe]]=0,0,Tabela1[[#This Row],[Zabici w wypadkach]]/Tabela1[[#This Row],[Wypadki drogowe]])</f>
        <v>6.5789473684210523E-2</v>
      </c>
      <c r="G158" s="40">
        <f>(Tabela1[[#This Row],[Zatrzymani na gorącym uczynku]]/Tabela1[[#This Row],[Interwencje]])*1000</f>
        <v>39.769012856831559</v>
      </c>
      <c r="H158">
        <v>18356</v>
      </c>
      <c r="I158">
        <v>730</v>
      </c>
      <c r="J158">
        <v>257</v>
      </c>
      <c r="K158">
        <v>444</v>
      </c>
      <c r="L158">
        <v>76</v>
      </c>
      <c r="M158">
        <v>5</v>
      </c>
      <c r="N158">
        <v>97</v>
      </c>
    </row>
    <row r="159" spans="1:14" x14ac:dyDescent="0.3">
      <c r="A159" s="1">
        <v>45842</v>
      </c>
      <c r="B159" s="1" t="str">
        <f>TEXT(Tabela1[[#This Row],[Data]],"mmmm")</f>
        <v>lipiec</v>
      </c>
      <c r="C159" s="1" t="str">
        <f>TEXT(Tabela1[[#This Row],[Data]],"dddd")</f>
        <v>piątek</v>
      </c>
      <c r="D159">
        <f>WEEKNUM(Tabela1[[#This Row],[Data]],2)</f>
        <v>27</v>
      </c>
      <c r="E159" t="str">
        <f>IF(WEEKDAY(Tabela1[[#This Row],[Data]],2)&gt;5,"TAK","NIE")</f>
        <v>NIE</v>
      </c>
      <c r="F159" s="2">
        <f>IF(Tabela1[[#This Row],[Wypadki drogowe]]=0,0,Tabela1[[#This Row],[Zabici w wypadkach]]/Tabela1[[#This Row],[Wypadki drogowe]])</f>
        <v>7.2289156626506021E-2</v>
      </c>
      <c r="G159" s="40">
        <f>(Tabela1[[#This Row],[Zatrzymani na gorącym uczynku]]/Tabela1[[#This Row],[Interwencje]])*1000</f>
        <v>32.504780114722756</v>
      </c>
      <c r="H159">
        <v>17782</v>
      </c>
      <c r="I159">
        <v>578</v>
      </c>
      <c r="J159">
        <v>442</v>
      </c>
      <c r="K159">
        <v>276</v>
      </c>
      <c r="L159">
        <v>83</v>
      </c>
      <c r="M159">
        <v>6</v>
      </c>
      <c r="N159">
        <v>99</v>
      </c>
    </row>
    <row r="160" spans="1:14" x14ac:dyDescent="0.3">
      <c r="A160" s="1">
        <v>45841</v>
      </c>
      <c r="B160" s="1" t="str">
        <f>TEXT(Tabela1[[#This Row],[Data]],"mmmm")</f>
        <v>lipiec</v>
      </c>
      <c r="C160" s="1" t="str">
        <f>TEXT(Tabela1[[#This Row],[Data]],"dddd")</f>
        <v>czwartek</v>
      </c>
      <c r="D160">
        <f>WEEKNUM(Tabela1[[#This Row],[Data]],2)</f>
        <v>27</v>
      </c>
      <c r="E160" t="str">
        <f>IF(WEEKDAY(Tabela1[[#This Row],[Data]],2)&gt;5,"TAK","NIE")</f>
        <v>NIE</v>
      </c>
      <c r="F160" s="2">
        <f>IF(Tabela1[[#This Row],[Wypadki drogowe]]=0,0,Tabela1[[#This Row],[Zabici w wypadkach]]/Tabela1[[#This Row],[Wypadki drogowe]])</f>
        <v>3.3333333333333333E-2</v>
      </c>
      <c r="G160" s="40">
        <f>(Tabela1[[#This Row],[Zatrzymani na gorącym uczynku]]/Tabela1[[#This Row],[Interwencje]])*1000</f>
        <v>35.652871718445489</v>
      </c>
      <c r="H160">
        <v>17446</v>
      </c>
      <c r="I160">
        <v>622</v>
      </c>
      <c r="J160">
        <v>484</v>
      </c>
      <c r="K160">
        <v>301</v>
      </c>
      <c r="L160">
        <v>90</v>
      </c>
      <c r="M160">
        <v>3</v>
      </c>
      <c r="N160">
        <v>107</v>
      </c>
    </row>
    <row r="161" spans="1:14" x14ac:dyDescent="0.3">
      <c r="A161" s="1">
        <v>45840</v>
      </c>
      <c r="B161" s="1" t="str">
        <f>TEXT(Tabela1[[#This Row],[Data]],"mmmm")</f>
        <v>lipiec</v>
      </c>
      <c r="C161" s="1" t="str">
        <f>TEXT(Tabela1[[#This Row],[Data]],"dddd")</f>
        <v>środa</v>
      </c>
      <c r="D161">
        <f>WEEKNUM(Tabela1[[#This Row],[Data]],2)</f>
        <v>27</v>
      </c>
      <c r="E161" t="str">
        <f>IF(WEEKDAY(Tabela1[[#This Row],[Data]],2)&gt;5,"TAK","NIE")</f>
        <v>NIE</v>
      </c>
      <c r="F161" s="2">
        <f>IF(Tabela1[[#This Row],[Wypadki drogowe]]=0,0,Tabela1[[#This Row],[Zabici w wypadkach]]/Tabela1[[#This Row],[Wypadki drogowe]])</f>
        <v>9.5238095238095233E-2</v>
      </c>
      <c r="G161" s="40">
        <f>(Tabela1[[#This Row],[Zatrzymani na gorącym uczynku]]/Tabela1[[#This Row],[Interwencje]])*1000</f>
        <v>31.831146605818596</v>
      </c>
      <c r="H161">
        <v>17530</v>
      </c>
      <c r="I161">
        <v>558</v>
      </c>
      <c r="J161">
        <v>453</v>
      </c>
      <c r="K161">
        <v>274</v>
      </c>
      <c r="L161">
        <v>84</v>
      </c>
      <c r="M161">
        <v>8</v>
      </c>
      <c r="N161">
        <v>93</v>
      </c>
    </row>
    <row r="162" spans="1:14" x14ac:dyDescent="0.3">
      <c r="A162" s="1">
        <v>45839</v>
      </c>
      <c r="B162" s="1" t="str">
        <f>TEXT(Tabela1[[#This Row],[Data]],"mmmm")</f>
        <v>lipiec</v>
      </c>
      <c r="C162" s="1" t="str">
        <f>TEXT(Tabela1[[#This Row],[Data]],"dddd")</f>
        <v>wtorek</v>
      </c>
      <c r="D162">
        <f>WEEKNUM(Tabela1[[#This Row],[Data]],2)</f>
        <v>27</v>
      </c>
      <c r="E162" t="str">
        <f>IF(WEEKDAY(Tabela1[[#This Row],[Data]],2)&gt;5,"TAK","NIE")</f>
        <v>NIE</v>
      </c>
      <c r="F162" s="2">
        <f>IF(Tabela1[[#This Row],[Wypadki drogowe]]=0,0,Tabela1[[#This Row],[Zabici w wypadkach]]/Tabela1[[#This Row],[Wypadki drogowe]])</f>
        <v>5.2631578947368418E-2</v>
      </c>
      <c r="G162" s="40">
        <f>(Tabela1[[#This Row],[Zatrzymani na gorącym uczynku]]/Tabela1[[#This Row],[Interwencje]])*1000</f>
        <v>32.606790159527847</v>
      </c>
      <c r="H162">
        <v>17113</v>
      </c>
      <c r="I162">
        <v>558</v>
      </c>
      <c r="J162">
        <v>414</v>
      </c>
      <c r="K162">
        <v>279</v>
      </c>
      <c r="L162">
        <v>76</v>
      </c>
      <c r="M162">
        <v>4</v>
      </c>
      <c r="N162">
        <v>92</v>
      </c>
    </row>
    <row r="163" spans="1:14" x14ac:dyDescent="0.3">
      <c r="A163" s="1">
        <v>45838</v>
      </c>
      <c r="B163" s="1" t="str">
        <f>TEXT(Tabela1[[#This Row],[Data]],"mmmm")</f>
        <v>czerwiec</v>
      </c>
      <c r="C163" s="1" t="str">
        <f>TEXT(Tabela1[[#This Row],[Data]],"dddd")</f>
        <v>poniedziałek</v>
      </c>
      <c r="D163">
        <f>WEEKNUM(Tabela1[[#This Row],[Data]],2)</f>
        <v>27</v>
      </c>
      <c r="E163" t="str">
        <f>IF(WEEKDAY(Tabela1[[#This Row],[Data]],2)&gt;5,"TAK","NIE")</f>
        <v>NIE</v>
      </c>
      <c r="F163" s="2">
        <f>IF(Tabela1[[#This Row],[Wypadki drogowe]]=0,0,Tabela1[[#This Row],[Zabici w wypadkach]]/Tabela1[[#This Row],[Wypadki drogowe]])</f>
        <v>7.0422535211267609E-2</v>
      </c>
      <c r="G163" s="40">
        <f>(Tabela1[[#This Row],[Zatrzymani na gorącym uczynku]]/Tabela1[[#This Row],[Interwencje]])*1000</f>
        <v>32.246633593196314</v>
      </c>
      <c r="H163">
        <v>16932</v>
      </c>
      <c r="I163">
        <v>546</v>
      </c>
      <c r="J163">
        <v>353</v>
      </c>
      <c r="K163">
        <v>363</v>
      </c>
      <c r="L163">
        <v>71</v>
      </c>
      <c r="M163">
        <v>5</v>
      </c>
      <c r="N163">
        <v>74</v>
      </c>
    </row>
    <row r="164" spans="1:14" x14ac:dyDescent="0.3">
      <c r="A164" s="1">
        <v>45837</v>
      </c>
      <c r="B164" s="1" t="str">
        <f>TEXT(Tabela1[[#This Row],[Data]],"mmmm")</f>
        <v>czerwiec</v>
      </c>
      <c r="C164" s="1" t="str">
        <f>TEXT(Tabela1[[#This Row],[Data]],"dddd")</f>
        <v>niedziela</v>
      </c>
      <c r="D164">
        <f>WEEKNUM(Tabela1[[#This Row],[Data]],2)</f>
        <v>26</v>
      </c>
      <c r="E164" t="str">
        <f>IF(WEEKDAY(Tabela1[[#This Row],[Data]],2)&gt;5,"TAK","NIE")</f>
        <v>TAK</v>
      </c>
      <c r="F164" s="2">
        <f>IF(Tabela1[[#This Row],[Wypadki drogowe]]=0,0,Tabela1[[#This Row],[Zabici w wypadkach]]/Tabela1[[#This Row],[Wypadki drogowe]])</f>
        <v>9.5238095238095233E-2</v>
      </c>
      <c r="G164" s="40">
        <f>(Tabela1[[#This Row],[Zatrzymani na gorącym uczynku]]/Tabela1[[#This Row],[Interwencje]])*1000</f>
        <v>36.195139010316495</v>
      </c>
      <c r="H164">
        <v>17157</v>
      </c>
      <c r="I164">
        <v>621</v>
      </c>
      <c r="J164">
        <v>230</v>
      </c>
      <c r="K164">
        <v>344</v>
      </c>
      <c r="L164">
        <v>63</v>
      </c>
      <c r="M164">
        <v>6</v>
      </c>
      <c r="N164">
        <v>79</v>
      </c>
    </row>
    <row r="165" spans="1:14" x14ac:dyDescent="0.3">
      <c r="A165" s="1">
        <v>45836</v>
      </c>
      <c r="B165" s="1" t="str">
        <f>TEXT(Tabela1[[#This Row],[Data]],"mmmm")</f>
        <v>czerwiec</v>
      </c>
      <c r="C165" s="1" t="str">
        <f>TEXT(Tabela1[[#This Row],[Data]],"dddd")</f>
        <v>sobota</v>
      </c>
      <c r="D165">
        <f>WEEKNUM(Tabela1[[#This Row],[Data]],2)</f>
        <v>26</v>
      </c>
      <c r="E165" t="str">
        <f>IF(WEEKDAY(Tabela1[[#This Row],[Data]],2)&gt;5,"TAK","NIE")</f>
        <v>TAK</v>
      </c>
      <c r="F165" s="2">
        <f>IF(Tabela1[[#This Row],[Wypadki drogowe]]=0,0,Tabela1[[#This Row],[Zabici w wypadkach]]/Tabela1[[#This Row],[Wypadki drogowe]])</f>
        <v>1.5151515151515152E-2</v>
      </c>
      <c r="G165" s="40">
        <f>(Tabela1[[#This Row],[Zatrzymani na gorącym uczynku]]/Tabela1[[#This Row],[Interwencje]])*1000</f>
        <v>30.660005259006045</v>
      </c>
      <c r="H165">
        <v>19015</v>
      </c>
      <c r="I165">
        <v>583</v>
      </c>
      <c r="J165">
        <v>257</v>
      </c>
      <c r="K165">
        <v>354</v>
      </c>
      <c r="L165">
        <v>66</v>
      </c>
      <c r="M165">
        <v>1</v>
      </c>
      <c r="N165">
        <v>76</v>
      </c>
    </row>
    <row r="166" spans="1:14" x14ac:dyDescent="0.3">
      <c r="A166" s="1">
        <v>45835</v>
      </c>
      <c r="B166" s="1" t="str">
        <f>TEXT(Tabela1[[#This Row],[Data]],"mmmm")</f>
        <v>czerwiec</v>
      </c>
      <c r="C166" s="1" t="str">
        <f>TEXT(Tabela1[[#This Row],[Data]],"dddd")</f>
        <v>piątek</v>
      </c>
      <c r="D166">
        <f>WEEKNUM(Tabela1[[#This Row],[Data]],2)</f>
        <v>26</v>
      </c>
      <c r="E166" t="str">
        <f>IF(WEEKDAY(Tabela1[[#This Row],[Data]],2)&gt;5,"TAK","NIE")</f>
        <v>NIE</v>
      </c>
      <c r="F166" s="2">
        <f>IF(Tabela1[[#This Row],[Wypadki drogowe]]=0,0,Tabela1[[#This Row],[Zabici w wypadkach]]/Tabela1[[#This Row],[Wypadki drogowe]])</f>
        <v>5.6179775280898875E-2</v>
      </c>
      <c r="G166" s="40">
        <f>(Tabela1[[#This Row],[Zatrzymani na gorącym uczynku]]/Tabela1[[#This Row],[Interwencje]])*1000</f>
        <v>31.170928667563931</v>
      </c>
      <c r="H166">
        <v>18575</v>
      </c>
      <c r="I166">
        <v>579</v>
      </c>
      <c r="J166">
        <v>348</v>
      </c>
      <c r="K166">
        <v>320</v>
      </c>
      <c r="L166">
        <v>89</v>
      </c>
      <c r="M166">
        <v>5</v>
      </c>
      <c r="N166">
        <v>113</v>
      </c>
    </row>
    <row r="167" spans="1:14" x14ac:dyDescent="0.3">
      <c r="A167" s="1">
        <v>45834</v>
      </c>
      <c r="B167" s="1" t="str">
        <f>TEXT(Tabela1[[#This Row],[Data]],"mmmm")</f>
        <v>czerwiec</v>
      </c>
      <c r="C167" s="1" t="str">
        <f>TEXT(Tabela1[[#This Row],[Data]],"dddd")</f>
        <v>czwartek</v>
      </c>
      <c r="D167">
        <f>WEEKNUM(Tabela1[[#This Row],[Data]],2)</f>
        <v>26</v>
      </c>
      <c r="E167" t="str">
        <f>IF(WEEKDAY(Tabela1[[#This Row],[Data]],2)&gt;5,"TAK","NIE")</f>
        <v>NIE</v>
      </c>
      <c r="F167" s="2">
        <f>IF(Tabela1[[#This Row],[Wypadki drogowe]]=0,0,Tabela1[[#This Row],[Zabici w wypadkach]]/Tabela1[[#This Row],[Wypadki drogowe]])</f>
        <v>9.3023255813953487E-2</v>
      </c>
      <c r="G167" s="40">
        <f>(Tabela1[[#This Row],[Zatrzymani na gorącym uczynku]]/Tabela1[[#This Row],[Interwencje]])*1000</f>
        <v>32.701149425287362</v>
      </c>
      <c r="H167">
        <v>17400</v>
      </c>
      <c r="I167">
        <v>569</v>
      </c>
      <c r="J167">
        <v>416</v>
      </c>
      <c r="K167">
        <v>295</v>
      </c>
      <c r="L167">
        <v>86</v>
      </c>
      <c r="M167">
        <v>8</v>
      </c>
      <c r="N167">
        <v>95</v>
      </c>
    </row>
    <row r="168" spans="1:14" x14ac:dyDescent="0.3">
      <c r="A168" s="1">
        <v>45833</v>
      </c>
      <c r="B168" s="1" t="str">
        <f>TEXT(Tabela1[[#This Row],[Data]],"mmmm")</f>
        <v>czerwiec</v>
      </c>
      <c r="C168" s="1" t="str">
        <f>TEXT(Tabela1[[#This Row],[Data]],"dddd")</f>
        <v>środa</v>
      </c>
      <c r="D168">
        <f>WEEKNUM(Tabela1[[#This Row],[Data]],2)</f>
        <v>26</v>
      </c>
      <c r="E168" t="str">
        <f>IF(WEEKDAY(Tabela1[[#This Row],[Data]],2)&gt;5,"TAK","NIE")</f>
        <v>NIE</v>
      </c>
      <c r="F168" s="2">
        <f>IF(Tabela1[[#This Row],[Wypadki drogowe]]=0,0,Tabela1[[#This Row],[Zabici w wypadkach]]/Tabela1[[#This Row],[Wypadki drogowe]])</f>
        <v>4.9382716049382713E-2</v>
      </c>
      <c r="G168" s="40">
        <f>(Tabela1[[#This Row],[Zatrzymani na gorącym uczynku]]/Tabela1[[#This Row],[Interwencje]])*1000</f>
        <v>31.802336248547487</v>
      </c>
      <c r="H168">
        <v>16351</v>
      </c>
      <c r="I168">
        <v>520</v>
      </c>
      <c r="J168">
        <v>413</v>
      </c>
      <c r="K168">
        <v>228</v>
      </c>
      <c r="L168">
        <v>81</v>
      </c>
      <c r="M168">
        <v>4</v>
      </c>
      <c r="N168">
        <v>86</v>
      </c>
    </row>
    <row r="169" spans="1:14" x14ac:dyDescent="0.3">
      <c r="A169" s="1">
        <v>45832</v>
      </c>
      <c r="B169" s="1" t="str">
        <f>TEXT(Tabela1[[#This Row],[Data]],"mmmm")</f>
        <v>czerwiec</v>
      </c>
      <c r="C169" s="1" t="str">
        <f>TEXT(Tabela1[[#This Row],[Data]],"dddd")</f>
        <v>wtorek</v>
      </c>
      <c r="D169">
        <f>WEEKNUM(Tabela1[[#This Row],[Data]],2)</f>
        <v>26</v>
      </c>
      <c r="E169" t="str">
        <f>IF(WEEKDAY(Tabela1[[#This Row],[Data]],2)&gt;5,"TAK","NIE")</f>
        <v>NIE</v>
      </c>
      <c r="F169" s="2">
        <f>IF(Tabela1[[#This Row],[Wypadki drogowe]]=0,0,Tabela1[[#This Row],[Zabici w wypadkach]]/Tabela1[[#This Row],[Wypadki drogowe]])</f>
        <v>1.5384615384615385E-2</v>
      </c>
      <c r="G169" s="40">
        <f>(Tabela1[[#This Row],[Zatrzymani na gorącym uczynku]]/Tabela1[[#This Row],[Interwencje]])*1000</f>
        <v>27.809023872015995</v>
      </c>
      <c r="H169">
        <v>16002</v>
      </c>
      <c r="I169">
        <v>445</v>
      </c>
      <c r="J169">
        <v>354</v>
      </c>
      <c r="K169">
        <v>189</v>
      </c>
      <c r="L169">
        <v>65</v>
      </c>
      <c r="M169">
        <v>1</v>
      </c>
      <c r="N169">
        <v>72</v>
      </c>
    </row>
    <row r="170" spans="1:14" x14ac:dyDescent="0.3">
      <c r="A170" s="1">
        <v>45831</v>
      </c>
      <c r="B170" s="1" t="str">
        <f>TEXT(Tabela1[[#This Row],[Data]],"mmmm")</f>
        <v>czerwiec</v>
      </c>
      <c r="C170" s="1" t="str">
        <f>TEXT(Tabela1[[#This Row],[Data]],"dddd")</f>
        <v>poniedziałek</v>
      </c>
      <c r="D170">
        <f>WEEKNUM(Tabela1[[#This Row],[Data]],2)</f>
        <v>26</v>
      </c>
      <c r="E170" t="str">
        <f>IF(WEEKDAY(Tabela1[[#This Row],[Data]],2)&gt;5,"TAK","NIE")</f>
        <v>NIE</v>
      </c>
      <c r="F170" s="2">
        <f>IF(Tabela1[[#This Row],[Wypadki drogowe]]=0,0,Tabela1[[#This Row],[Zabici w wypadkach]]/Tabela1[[#This Row],[Wypadki drogowe]])</f>
        <v>3.896103896103896E-2</v>
      </c>
      <c r="G170" s="40">
        <f>(Tabela1[[#This Row],[Zatrzymani na gorącym uczynku]]/Tabela1[[#This Row],[Interwencje]])*1000</f>
        <v>47.73604773604773</v>
      </c>
      <c r="H170">
        <v>17094</v>
      </c>
      <c r="I170">
        <v>816</v>
      </c>
      <c r="J170">
        <v>300</v>
      </c>
      <c r="K170">
        <v>675</v>
      </c>
      <c r="L170">
        <v>77</v>
      </c>
      <c r="M170">
        <v>3</v>
      </c>
      <c r="N170">
        <v>99</v>
      </c>
    </row>
    <row r="171" spans="1:14" x14ac:dyDescent="0.3">
      <c r="A171" s="1">
        <v>45830</v>
      </c>
      <c r="B171" s="1" t="str">
        <f>TEXT(Tabela1[[#This Row],[Data]],"mmmm")</f>
        <v>czerwiec</v>
      </c>
      <c r="C171" s="1" t="str">
        <f>TEXT(Tabela1[[#This Row],[Data]],"dddd")</f>
        <v>niedziela</v>
      </c>
      <c r="D171">
        <f>WEEKNUM(Tabela1[[#This Row],[Data]],2)</f>
        <v>25</v>
      </c>
      <c r="E171" t="str">
        <f>IF(WEEKDAY(Tabela1[[#This Row],[Data]],2)&gt;5,"TAK","NIE")</f>
        <v>TAK</v>
      </c>
      <c r="F171" s="2">
        <f>IF(Tabela1[[#This Row],[Wypadki drogowe]]=0,0,Tabela1[[#This Row],[Zabici w wypadkach]]/Tabela1[[#This Row],[Wypadki drogowe]])</f>
        <v>6.4516129032258063E-2</v>
      </c>
      <c r="G171" s="40">
        <f>(Tabela1[[#This Row],[Zatrzymani na gorącym uczynku]]/Tabela1[[#This Row],[Interwencje]])*1000</f>
        <v>39.830024735206443</v>
      </c>
      <c r="H171">
        <v>15767</v>
      </c>
      <c r="I171">
        <v>628</v>
      </c>
      <c r="J171">
        <v>212</v>
      </c>
      <c r="K171">
        <v>414</v>
      </c>
      <c r="L171">
        <v>62</v>
      </c>
      <c r="M171">
        <v>4</v>
      </c>
      <c r="N171">
        <v>85</v>
      </c>
    </row>
    <row r="172" spans="1:14" x14ac:dyDescent="0.3">
      <c r="A172" s="1">
        <v>45829</v>
      </c>
      <c r="B172" s="1" t="str">
        <f>TEXT(Tabela1[[#This Row],[Data]],"mmmm")</f>
        <v>czerwiec</v>
      </c>
      <c r="C172" s="1" t="str">
        <f>TEXT(Tabela1[[#This Row],[Data]],"dddd")</f>
        <v>sobota</v>
      </c>
      <c r="D172">
        <f>WEEKNUM(Tabela1[[#This Row],[Data]],2)</f>
        <v>25</v>
      </c>
      <c r="E172" t="str">
        <f>IF(WEEKDAY(Tabela1[[#This Row],[Data]],2)&gt;5,"TAK","NIE")</f>
        <v>TAK</v>
      </c>
      <c r="F172" s="2">
        <f>IF(Tabela1[[#This Row],[Wypadki drogowe]]=0,0,Tabela1[[#This Row],[Zabici w wypadkach]]/Tabela1[[#This Row],[Wypadki drogowe]])</f>
        <v>8.8235294117647065E-2</v>
      </c>
      <c r="G172" s="40">
        <f>(Tabela1[[#This Row],[Zatrzymani na gorącym uczynku]]/Tabela1[[#This Row],[Interwencje]])*1000</f>
        <v>33.474502523641</v>
      </c>
      <c r="H172">
        <v>17237</v>
      </c>
      <c r="I172">
        <v>577</v>
      </c>
      <c r="J172">
        <v>216</v>
      </c>
      <c r="K172">
        <v>330</v>
      </c>
      <c r="L172">
        <v>68</v>
      </c>
      <c r="M172">
        <v>6</v>
      </c>
      <c r="N172">
        <v>75</v>
      </c>
    </row>
    <row r="173" spans="1:14" x14ac:dyDescent="0.3">
      <c r="A173" s="1">
        <v>45828</v>
      </c>
      <c r="B173" s="1" t="str">
        <f>TEXT(Tabela1[[#This Row],[Data]],"mmmm")</f>
        <v>czerwiec</v>
      </c>
      <c r="C173" s="1" t="str">
        <f>TEXT(Tabela1[[#This Row],[Data]],"dddd")</f>
        <v>piątek</v>
      </c>
      <c r="D173">
        <f>WEEKNUM(Tabela1[[#This Row],[Data]],2)</f>
        <v>25</v>
      </c>
      <c r="E173" t="str">
        <f>IF(WEEKDAY(Tabela1[[#This Row],[Data]],2)&gt;5,"TAK","NIE")</f>
        <v>NIE</v>
      </c>
      <c r="F173" s="2">
        <f>IF(Tabela1[[#This Row],[Wypadki drogowe]]=0,0,Tabela1[[#This Row],[Zabici w wypadkach]]/Tabela1[[#This Row],[Wypadki drogowe]])</f>
        <v>4.4117647058823532E-2</v>
      </c>
      <c r="G173" s="40">
        <f>(Tabela1[[#This Row],[Zatrzymani na gorącym uczynku]]/Tabela1[[#This Row],[Interwencje]])*1000</f>
        <v>37.119908204245554</v>
      </c>
      <c r="H173">
        <v>17430</v>
      </c>
      <c r="I173">
        <v>647</v>
      </c>
      <c r="J173">
        <v>332</v>
      </c>
      <c r="K173">
        <v>353</v>
      </c>
      <c r="L173">
        <v>68</v>
      </c>
      <c r="M173">
        <v>3</v>
      </c>
      <c r="N173">
        <v>79</v>
      </c>
    </row>
    <row r="174" spans="1:14" x14ac:dyDescent="0.3">
      <c r="A174" s="1">
        <v>45827</v>
      </c>
      <c r="B174" s="1" t="str">
        <f>TEXT(Tabela1[[#This Row],[Data]],"mmmm")</f>
        <v>czerwiec</v>
      </c>
      <c r="C174" s="1" t="str">
        <f>TEXT(Tabela1[[#This Row],[Data]],"dddd")</f>
        <v>czwartek</v>
      </c>
      <c r="D174">
        <f>WEEKNUM(Tabela1[[#This Row],[Data]],2)</f>
        <v>25</v>
      </c>
      <c r="E174" t="str">
        <f>IF(WEEKDAY(Tabela1[[#This Row],[Data]],2)&gt;5,"TAK","NIE")</f>
        <v>NIE</v>
      </c>
      <c r="F174" s="2">
        <f>IF(Tabela1[[#This Row],[Wypadki drogowe]]=0,0,Tabela1[[#This Row],[Zabici w wypadkach]]/Tabela1[[#This Row],[Wypadki drogowe]])</f>
        <v>7.6923076923076927E-2</v>
      </c>
      <c r="G174" s="40">
        <f>(Tabela1[[#This Row],[Zatrzymani na gorącym uczynku]]/Tabela1[[#This Row],[Interwencje]])*1000</f>
        <v>38.074951740664318</v>
      </c>
      <c r="H174">
        <v>15023</v>
      </c>
      <c r="I174">
        <v>572</v>
      </c>
      <c r="J174">
        <v>291</v>
      </c>
      <c r="K174">
        <v>323</v>
      </c>
      <c r="L174">
        <v>65</v>
      </c>
      <c r="M174">
        <v>5</v>
      </c>
      <c r="N174">
        <v>78</v>
      </c>
    </row>
    <row r="175" spans="1:14" x14ac:dyDescent="0.3">
      <c r="A175" s="1">
        <v>45826</v>
      </c>
      <c r="B175" s="1" t="str">
        <f>TEXT(Tabela1[[#This Row],[Data]],"mmmm")</f>
        <v>czerwiec</v>
      </c>
      <c r="C175" s="1" t="str">
        <f>TEXT(Tabela1[[#This Row],[Data]],"dddd")</f>
        <v>środa</v>
      </c>
      <c r="D175">
        <f>WEEKNUM(Tabela1[[#This Row],[Data]],2)</f>
        <v>25</v>
      </c>
      <c r="E175" t="str">
        <f>IF(WEEKDAY(Tabela1[[#This Row],[Data]],2)&gt;5,"TAK","NIE")</f>
        <v>NIE</v>
      </c>
      <c r="F175" s="2">
        <f>IF(Tabela1[[#This Row],[Wypadki drogowe]]=0,0,Tabela1[[#This Row],[Zabici w wypadkach]]/Tabela1[[#This Row],[Wypadki drogowe]])</f>
        <v>3.896103896103896E-2</v>
      </c>
      <c r="G175" s="40">
        <f>(Tabela1[[#This Row],[Zatrzymani na gorącym uczynku]]/Tabela1[[#This Row],[Interwencje]])*1000</f>
        <v>33.476060724017124</v>
      </c>
      <c r="H175">
        <v>17983</v>
      </c>
      <c r="I175">
        <v>602</v>
      </c>
      <c r="J175">
        <v>371</v>
      </c>
      <c r="K175">
        <v>295</v>
      </c>
      <c r="L175">
        <v>77</v>
      </c>
      <c r="M175">
        <v>3</v>
      </c>
      <c r="N175">
        <v>91</v>
      </c>
    </row>
    <row r="176" spans="1:14" x14ac:dyDescent="0.3">
      <c r="A176" s="1">
        <v>45825</v>
      </c>
      <c r="B176" s="1" t="str">
        <f>TEXT(Tabela1[[#This Row],[Data]],"mmmm")</f>
        <v>czerwiec</v>
      </c>
      <c r="C176" s="1" t="str">
        <f>TEXT(Tabela1[[#This Row],[Data]],"dddd")</f>
        <v>wtorek</v>
      </c>
      <c r="D176">
        <f>WEEKNUM(Tabela1[[#This Row],[Data]],2)</f>
        <v>25</v>
      </c>
      <c r="E176" t="str">
        <f>IF(WEEKDAY(Tabela1[[#This Row],[Data]],2)&gt;5,"TAK","NIE")</f>
        <v>NIE</v>
      </c>
      <c r="F176" s="2">
        <f>IF(Tabela1[[#This Row],[Wypadki drogowe]]=0,0,Tabela1[[#This Row],[Zabici w wypadkach]]/Tabela1[[#This Row],[Wypadki drogowe]])</f>
        <v>1.4492753623188406E-2</v>
      </c>
      <c r="G176" s="40">
        <f>(Tabela1[[#This Row],[Zatrzymani na gorącym uczynku]]/Tabela1[[#This Row],[Interwencje]])*1000</f>
        <v>31.09903381642512</v>
      </c>
      <c r="H176">
        <v>16560</v>
      </c>
      <c r="I176">
        <v>515</v>
      </c>
      <c r="J176">
        <v>397</v>
      </c>
      <c r="K176">
        <v>232</v>
      </c>
      <c r="L176">
        <v>69</v>
      </c>
      <c r="M176">
        <v>1</v>
      </c>
      <c r="N176">
        <v>81</v>
      </c>
    </row>
    <row r="177" spans="1:14" x14ac:dyDescent="0.3">
      <c r="A177" s="1">
        <v>45824</v>
      </c>
      <c r="B177" s="1" t="str">
        <f>TEXT(Tabela1[[#This Row],[Data]],"mmmm")</f>
        <v>czerwiec</v>
      </c>
      <c r="C177" s="1" t="str">
        <f>TEXT(Tabela1[[#This Row],[Data]],"dddd")</f>
        <v>poniedziałek</v>
      </c>
      <c r="D177">
        <f>WEEKNUM(Tabela1[[#This Row],[Data]],2)</f>
        <v>25</v>
      </c>
      <c r="E177" t="str">
        <f>IF(WEEKDAY(Tabela1[[#This Row],[Data]],2)&gt;5,"TAK","NIE")</f>
        <v>NIE</v>
      </c>
      <c r="F177" s="2">
        <f>IF(Tabela1[[#This Row],[Wypadki drogowe]]=0,0,Tabela1[[#This Row],[Zabici w wypadkach]]/Tabela1[[#This Row],[Wypadki drogowe]])</f>
        <v>6.9444444444444448E-2</v>
      </c>
      <c r="G177" s="40">
        <f>(Tabela1[[#This Row],[Zatrzymani na gorącym uczynku]]/Tabela1[[#This Row],[Interwencje]])*1000</f>
        <v>38.189886867929246</v>
      </c>
      <c r="H177">
        <v>15999</v>
      </c>
      <c r="I177">
        <v>611</v>
      </c>
      <c r="J177">
        <v>371</v>
      </c>
      <c r="K177">
        <v>342</v>
      </c>
      <c r="L177">
        <v>72</v>
      </c>
      <c r="M177">
        <v>5</v>
      </c>
      <c r="N177">
        <v>83</v>
      </c>
    </row>
    <row r="178" spans="1:14" x14ac:dyDescent="0.3">
      <c r="A178" s="1">
        <v>45823</v>
      </c>
      <c r="B178" s="1" t="str">
        <f>TEXT(Tabela1[[#This Row],[Data]],"mmmm")</f>
        <v>czerwiec</v>
      </c>
      <c r="C178" s="1" t="str">
        <f>TEXT(Tabela1[[#This Row],[Data]],"dddd")</f>
        <v>niedziela</v>
      </c>
      <c r="D178">
        <f>WEEKNUM(Tabela1[[#This Row],[Data]],2)</f>
        <v>24</v>
      </c>
      <c r="E178" t="str">
        <f>IF(WEEKDAY(Tabela1[[#This Row],[Data]],2)&gt;5,"TAK","NIE")</f>
        <v>TAK</v>
      </c>
      <c r="F178" s="2">
        <f>IF(Tabela1[[#This Row],[Wypadki drogowe]]=0,0,Tabela1[[#This Row],[Zabici w wypadkach]]/Tabela1[[#This Row],[Wypadki drogowe]])</f>
        <v>8.5106382978723402E-2</v>
      </c>
      <c r="G178" s="40">
        <f>(Tabela1[[#This Row],[Zatrzymani na gorącym uczynku]]/Tabela1[[#This Row],[Interwencje]])*1000</f>
        <v>33.443770707007559</v>
      </c>
      <c r="H178">
        <v>15997</v>
      </c>
      <c r="I178">
        <v>535</v>
      </c>
      <c r="J178">
        <v>233</v>
      </c>
      <c r="K178">
        <v>308</v>
      </c>
      <c r="L178">
        <v>94</v>
      </c>
      <c r="M178">
        <v>8</v>
      </c>
      <c r="N178">
        <v>121</v>
      </c>
    </row>
    <row r="179" spans="1:14" x14ac:dyDescent="0.3">
      <c r="A179" s="1">
        <v>45822</v>
      </c>
      <c r="B179" s="1" t="str">
        <f>TEXT(Tabela1[[#This Row],[Data]],"mmmm")</f>
        <v>czerwiec</v>
      </c>
      <c r="C179" s="1" t="str">
        <f>TEXT(Tabela1[[#This Row],[Data]],"dddd")</f>
        <v>sobota</v>
      </c>
      <c r="D179">
        <f>WEEKNUM(Tabela1[[#This Row],[Data]],2)</f>
        <v>24</v>
      </c>
      <c r="E179" t="str">
        <f>IF(WEEKDAY(Tabela1[[#This Row],[Data]],2)&gt;5,"TAK","NIE")</f>
        <v>TAK</v>
      </c>
      <c r="F179" s="2">
        <f>IF(Tabela1[[#This Row],[Wypadki drogowe]]=0,0,Tabela1[[#This Row],[Zabici w wypadkach]]/Tabela1[[#This Row],[Wypadki drogowe]])</f>
        <v>3.614457831325301E-2</v>
      </c>
      <c r="G179" s="40">
        <f>(Tabela1[[#This Row],[Zatrzymani na gorącym uczynku]]/Tabela1[[#This Row],[Interwencje]])*1000</f>
        <v>33.429167371328717</v>
      </c>
      <c r="H179">
        <v>17739</v>
      </c>
      <c r="I179">
        <v>593</v>
      </c>
      <c r="J179">
        <v>241</v>
      </c>
      <c r="K179">
        <v>326</v>
      </c>
      <c r="L179">
        <v>83</v>
      </c>
      <c r="M179">
        <v>3</v>
      </c>
      <c r="N179">
        <v>94</v>
      </c>
    </row>
    <row r="180" spans="1:14" x14ac:dyDescent="0.3">
      <c r="A180" s="1">
        <v>45821</v>
      </c>
      <c r="B180" s="1" t="str">
        <f>TEXT(Tabela1[[#This Row],[Data]],"mmmm")</f>
        <v>czerwiec</v>
      </c>
      <c r="C180" s="1" t="str">
        <f>TEXT(Tabela1[[#This Row],[Data]],"dddd")</f>
        <v>piątek</v>
      </c>
      <c r="D180">
        <f>WEEKNUM(Tabela1[[#This Row],[Data]],2)</f>
        <v>24</v>
      </c>
      <c r="E180" t="str">
        <f>IF(WEEKDAY(Tabela1[[#This Row],[Data]],2)&gt;5,"TAK","NIE")</f>
        <v>NIE</v>
      </c>
      <c r="F180" s="2">
        <f>IF(Tabela1[[#This Row],[Wypadki drogowe]]=0,0,Tabela1[[#This Row],[Zabici w wypadkach]]/Tabela1[[#This Row],[Wypadki drogowe]])</f>
        <v>1.4492753623188406E-2</v>
      </c>
      <c r="G180" s="40">
        <f>(Tabela1[[#This Row],[Zatrzymani na gorącym uczynku]]/Tabela1[[#This Row],[Interwencje]])*1000</f>
        <v>28.005194511885268</v>
      </c>
      <c r="H180">
        <v>17711</v>
      </c>
      <c r="I180">
        <v>496</v>
      </c>
      <c r="J180">
        <v>399</v>
      </c>
      <c r="K180">
        <v>215</v>
      </c>
      <c r="L180">
        <v>69</v>
      </c>
      <c r="M180">
        <v>1</v>
      </c>
      <c r="N180">
        <v>90</v>
      </c>
    </row>
    <row r="181" spans="1:14" x14ac:dyDescent="0.3">
      <c r="A181" s="1">
        <v>45820</v>
      </c>
      <c r="B181" s="1" t="str">
        <f>TEXT(Tabela1[[#This Row],[Data]],"mmmm")</f>
        <v>czerwiec</v>
      </c>
      <c r="C181" s="1" t="str">
        <f>TEXT(Tabela1[[#This Row],[Data]],"dddd")</f>
        <v>czwartek</v>
      </c>
      <c r="D181">
        <f>WEEKNUM(Tabela1[[#This Row],[Data]],2)</f>
        <v>24</v>
      </c>
      <c r="E181" t="str">
        <f>IF(WEEKDAY(Tabela1[[#This Row],[Data]],2)&gt;5,"TAK","NIE")</f>
        <v>NIE</v>
      </c>
      <c r="F181" s="2">
        <f>IF(Tabela1[[#This Row],[Wypadki drogowe]]=0,0,Tabela1[[#This Row],[Zabici w wypadkach]]/Tabela1[[#This Row],[Wypadki drogowe]])</f>
        <v>9.375E-2</v>
      </c>
      <c r="G181" s="40">
        <f>(Tabela1[[#This Row],[Zatrzymani na gorącym uczynku]]/Tabela1[[#This Row],[Interwencje]])*1000</f>
        <v>32.420483851160505</v>
      </c>
      <c r="H181">
        <v>16286</v>
      </c>
      <c r="I181">
        <v>528</v>
      </c>
      <c r="J181">
        <v>399</v>
      </c>
      <c r="K181">
        <v>233</v>
      </c>
      <c r="L181">
        <v>64</v>
      </c>
      <c r="M181">
        <v>6</v>
      </c>
      <c r="N181">
        <v>69</v>
      </c>
    </row>
    <row r="182" spans="1:14" x14ac:dyDescent="0.3">
      <c r="A182" s="1">
        <v>45819</v>
      </c>
      <c r="B182" s="1" t="str">
        <f>TEXT(Tabela1[[#This Row],[Data]],"mmmm")</f>
        <v>czerwiec</v>
      </c>
      <c r="C182" s="1" t="str">
        <f>TEXT(Tabela1[[#This Row],[Data]],"dddd")</f>
        <v>środa</v>
      </c>
      <c r="D182">
        <f>WEEKNUM(Tabela1[[#This Row],[Data]],2)</f>
        <v>24</v>
      </c>
      <c r="E182" t="str">
        <f>IF(WEEKDAY(Tabela1[[#This Row],[Data]],2)&gt;5,"TAK","NIE")</f>
        <v>NIE</v>
      </c>
      <c r="F182" s="2">
        <f>IF(Tabela1[[#This Row],[Wypadki drogowe]]=0,0,Tabela1[[#This Row],[Zabici w wypadkach]]/Tabela1[[#This Row],[Wypadki drogowe]])</f>
        <v>7.407407407407407E-2</v>
      </c>
      <c r="G182" s="40">
        <f>(Tabela1[[#This Row],[Zatrzymani na gorącym uczynku]]/Tabela1[[#This Row],[Interwencje]])*1000</f>
        <v>34.215666464605647</v>
      </c>
      <c r="H182">
        <v>14847</v>
      </c>
      <c r="I182">
        <v>508</v>
      </c>
      <c r="J182">
        <v>374</v>
      </c>
      <c r="K182">
        <v>202</v>
      </c>
      <c r="L182">
        <v>54</v>
      </c>
      <c r="M182">
        <v>4</v>
      </c>
      <c r="N182">
        <v>69</v>
      </c>
    </row>
    <row r="183" spans="1:14" x14ac:dyDescent="0.3">
      <c r="A183" s="1">
        <v>45818</v>
      </c>
      <c r="B183" s="1" t="str">
        <f>TEXT(Tabela1[[#This Row],[Data]],"mmmm")</f>
        <v>czerwiec</v>
      </c>
      <c r="C183" s="1" t="str">
        <f>TEXT(Tabela1[[#This Row],[Data]],"dddd")</f>
        <v>wtorek</v>
      </c>
      <c r="D183">
        <f>WEEKNUM(Tabela1[[#This Row],[Data]],2)</f>
        <v>24</v>
      </c>
      <c r="E183" t="str">
        <f>IF(WEEKDAY(Tabela1[[#This Row],[Data]],2)&gt;5,"TAK","NIE")</f>
        <v>NIE</v>
      </c>
      <c r="F183" s="2">
        <f>IF(Tabela1[[#This Row],[Wypadki drogowe]]=0,0,Tabela1[[#This Row],[Zabici w wypadkach]]/Tabela1[[#This Row],[Wypadki drogowe]])</f>
        <v>6.5573770491803282E-2</v>
      </c>
      <c r="G183" s="40">
        <f>(Tabela1[[#This Row],[Zatrzymani na gorącym uczynku]]/Tabela1[[#This Row],[Interwencje]])*1000</f>
        <v>32.255953938759482</v>
      </c>
      <c r="H183">
        <v>15284</v>
      </c>
      <c r="I183">
        <v>493</v>
      </c>
      <c r="J183">
        <v>849</v>
      </c>
      <c r="K183">
        <v>205</v>
      </c>
      <c r="L183">
        <v>61</v>
      </c>
      <c r="M183">
        <v>4</v>
      </c>
      <c r="N183">
        <v>70</v>
      </c>
    </row>
    <row r="184" spans="1:14" x14ac:dyDescent="0.3">
      <c r="A184" s="1">
        <v>45817</v>
      </c>
      <c r="B184" s="1" t="str">
        <f>TEXT(Tabela1[[#This Row],[Data]],"mmmm")</f>
        <v>czerwiec</v>
      </c>
      <c r="C184" s="1" t="str">
        <f>TEXT(Tabela1[[#This Row],[Data]],"dddd")</f>
        <v>poniedziałek</v>
      </c>
      <c r="D184">
        <f>WEEKNUM(Tabela1[[#This Row],[Data]],2)</f>
        <v>24</v>
      </c>
      <c r="E184" t="str">
        <f>IF(WEEKDAY(Tabela1[[#This Row],[Data]],2)&gt;5,"TAK","NIE")</f>
        <v>NIE</v>
      </c>
      <c r="F184" s="2">
        <f>IF(Tabela1[[#This Row],[Wypadki drogowe]]=0,0,Tabela1[[#This Row],[Zabici w wypadkach]]/Tabela1[[#This Row],[Wypadki drogowe]])</f>
        <v>0</v>
      </c>
      <c r="G184" s="40">
        <f>(Tabela1[[#This Row],[Zatrzymani na gorącym uczynku]]/Tabela1[[#This Row],[Interwencje]])*1000</f>
        <v>33.194182601669809</v>
      </c>
      <c r="H184">
        <v>14852</v>
      </c>
      <c r="I184">
        <v>493</v>
      </c>
      <c r="J184">
        <v>910</v>
      </c>
      <c r="K184">
        <v>243</v>
      </c>
      <c r="L184">
        <v>45</v>
      </c>
      <c r="M184">
        <v>0</v>
      </c>
      <c r="N184">
        <v>56</v>
      </c>
    </row>
    <row r="185" spans="1:14" x14ac:dyDescent="0.3">
      <c r="A185" s="1">
        <v>45816</v>
      </c>
      <c r="B185" s="1" t="str">
        <f>TEXT(Tabela1[[#This Row],[Data]],"mmmm")</f>
        <v>czerwiec</v>
      </c>
      <c r="C185" s="1" t="str">
        <f>TEXT(Tabela1[[#This Row],[Data]],"dddd")</f>
        <v>niedziela</v>
      </c>
      <c r="D185">
        <f>WEEKNUM(Tabela1[[#This Row],[Data]],2)</f>
        <v>23</v>
      </c>
      <c r="E185" t="str">
        <f>IF(WEEKDAY(Tabela1[[#This Row],[Data]],2)&gt;5,"TAK","NIE")</f>
        <v>TAK</v>
      </c>
      <c r="F185" s="2">
        <f>IF(Tabela1[[#This Row],[Wypadki drogowe]]=0,0,Tabela1[[#This Row],[Zabici w wypadkach]]/Tabela1[[#This Row],[Wypadki drogowe]])</f>
        <v>0.12121212121212122</v>
      </c>
      <c r="G185" s="40">
        <f>(Tabela1[[#This Row],[Zatrzymani na gorącym uczynku]]/Tabela1[[#This Row],[Interwencje]])*1000</f>
        <v>38.558318531675546</v>
      </c>
      <c r="H185">
        <v>13512</v>
      </c>
      <c r="I185">
        <v>521</v>
      </c>
      <c r="J185">
        <v>163</v>
      </c>
      <c r="K185">
        <v>298</v>
      </c>
      <c r="L185">
        <v>66</v>
      </c>
      <c r="M185">
        <v>8</v>
      </c>
      <c r="N185">
        <v>86</v>
      </c>
    </row>
    <row r="186" spans="1:14" x14ac:dyDescent="0.3">
      <c r="A186" s="1">
        <v>45815</v>
      </c>
      <c r="B186" s="1" t="str">
        <f>TEXT(Tabela1[[#This Row],[Data]],"mmmm")</f>
        <v>czerwiec</v>
      </c>
      <c r="C186" s="1" t="str">
        <f>TEXT(Tabela1[[#This Row],[Data]],"dddd")</f>
        <v>sobota</v>
      </c>
      <c r="D186">
        <f>WEEKNUM(Tabela1[[#This Row],[Data]],2)</f>
        <v>23</v>
      </c>
      <c r="E186" t="str">
        <f>IF(WEEKDAY(Tabela1[[#This Row],[Data]],2)&gt;5,"TAK","NIE")</f>
        <v>TAK</v>
      </c>
      <c r="F186" s="2">
        <f>IF(Tabela1[[#This Row],[Wypadki drogowe]]=0,0,Tabela1[[#This Row],[Zabici w wypadkach]]/Tabela1[[#This Row],[Wypadki drogowe]])</f>
        <v>8.1081081081081086E-2</v>
      </c>
      <c r="G186" s="40">
        <f>(Tabela1[[#This Row],[Zatrzymani na gorącym uczynku]]/Tabela1[[#This Row],[Interwencje]])*1000</f>
        <v>33.960720130932899</v>
      </c>
      <c r="H186">
        <v>17108</v>
      </c>
      <c r="I186">
        <v>581</v>
      </c>
      <c r="J186">
        <v>201</v>
      </c>
      <c r="K186">
        <v>338</v>
      </c>
      <c r="L186">
        <v>74</v>
      </c>
      <c r="M186">
        <v>6</v>
      </c>
      <c r="N186">
        <v>88</v>
      </c>
    </row>
    <row r="187" spans="1:14" x14ac:dyDescent="0.3">
      <c r="A187" s="1">
        <v>45814</v>
      </c>
      <c r="B187" s="1" t="str">
        <f>TEXT(Tabela1[[#This Row],[Data]],"mmmm")</f>
        <v>czerwiec</v>
      </c>
      <c r="C187" s="1" t="str">
        <f>TEXT(Tabela1[[#This Row],[Data]],"dddd")</f>
        <v>piątek</v>
      </c>
      <c r="D187">
        <f>WEEKNUM(Tabela1[[#This Row],[Data]],2)</f>
        <v>23</v>
      </c>
      <c r="E187" t="str">
        <f>IF(WEEKDAY(Tabela1[[#This Row],[Data]],2)&gt;5,"TAK","NIE")</f>
        <v>NIE</v>
      </c>
      <c r="F187" s="2">
        <f>IF(Tabela1[[#This Row],[Wypadki drogowe]]=0,0,Tabela1[[#This Row],[Zabici w wypadkach]]/Tabela1[[#This Row],[Wypadki drogowe]])</f>
        <v>8.2352941176470587E-2</v>
      </c>
      <c r="G187" s="40">
        <f>(Tabela1[[#This Row],[Zatrzymani na gorącym uczynku]]/Tabela1[[#This Row],[Interwencje]])*1000</f>
        <v>31.540987136013776</v>
      </c>
      <c r="H187">
        <v>18579</v>
      </c>
      <c r="I187">
        <v>586</v>
      </c>
      <c r="J187">
        <v>356</v>
      </c>
      <c r="K187">
        <v>285</v>
      </c>
      <c r="L187">
        <v>85</v>
      </c>
      <c r="M187">
        <v>7</v>
      </c>
      <c r="N187">
        <v>90</v>
      </c>
    </row>
    <row r="188" spans="1:14" x14ac:dyDescent="0.3">
      <c r="A188" s="1">
        <v>45813</v>
      </c>
      <c r="B188" s="1" t="str">
        <f>TEXT(Tabela1[[#This Row],[Data]],"mmmm")</f>
        <v>czerwiec</v>
      </c>
      <c r="C188" s="1" t="str">
        <f>TEXT(Tabela1[[#This Row],[Data]],"dddd")</f>
        <v>czwartek</v>
      </c>
      <c r="D188">
        <f>WEEKNUM(Tabela1[[#This Row],[Data]],2)</f>
        <v>23</v>
      </c>
      <c r="E188" t="str">
        <f>IF(WEEKDAY(Tabela1[[#This Row],[Data]],2)&gt;5,"TAK","NIE")</f>
        <v>NIE</v>
      </c>
      <c r="F188" s="2">
        <f>IF(Tabela1[[#This Row],[Wypadki drogowe]]=0,0,Tabela1[[#This Row],[Zabici w wypadkach]]/Tabela1[[#This Row],[Wypadki drogowe]])</f>
        <v>2.564102564102564E-2</v>
      </c>
      <c r="G188" s="40">
        <f>(Tabela1[[#This Row],[Zatrzymani na gorącym uczynku]]/Tabela1[[#This Row],[Interwencje]])*1000</f>
        <v>32.965743782261853</v>
      </c>
      <c r="H188">
        <v>17048</v>
      </c>
      <c r="I188">
        <v>562</v>
      </c>
      <c r="J188">
        <v>406</v>
      </c>
      <c r="K188">
        <v>254</v>
      </c>
      <c r="L188">
        <v>78</v>
      </c>
      <c r="M188">
        <v>2</v>
      </c>
      <c r="N188">
        <v>84</v>
      </c>
    </row>
    <row r="189" spans="1:14" x14ac:dyDescent="0.3">
      <c r="A189" s="1">
        <v>45812</v>
      </c>
      <c r="B189" s="1" t="str">
        <f>TEXT(Tabela1[[#This Row],[Data]],"mmmm")</f>
        <v>czerwiec</v>
      </c>
      <c r="C189" s="1" t="str">
        <f>TEXT(Tabela1[[#This Row],[Data]],"dddd")</f>
        <v>środa</v>
      </c>
      <c r="D189">
        <f>WEEKNUM(Tabela1[[#This Row],[Data]],2)</f>
        <v>23</v>
      </c>
      <c r="E189" t="str">
        <f>IF(WEEKDAY(Tabela1[[#This Row],[Data]],2)&gt;5,"TAK","NIE")</f>
        <v>NIE</v>
      </c>
      <c r="F189" s="2">
        <f>IF(Tabela1[[#This Row],[Wypadki drogowe]]=0,0,Tabela1[[#This Row],[Zabici w wypadkach]]/Tabela1[[#This Row],[Wypadki drogowe]])</f>
        <v>3.2967032967032968E-2</v>
      </c>
      <c r="G189" s="40">
        <f>(Tabela1[[#This Row],[Zatrzymani na gorącym uczynku]]/Tabela1[[#This Row],[Interwencje]])*1000</f>
        <v>32.346587259882057</v>
      </c>
      <c r="H189">
        <v>17127</v>
      </c>
      <c r="I189">
        <v>554</v>
      </c>
      <c r="J189">
        <v>422</v>
      </c>
      <c r="K189">
        <v>243</v>
      </c>
      <c r="L189">
        <v>91</v>
      </c>
      <c r="M189">
        <v>3</v>
      </c>
      <c r="N189">
        <v>97</v>
      </c>
    </row>
    <row r="190" spans="1:14" x14ac:dyDescent="0.3">
      <c r="A190" s="1">
        <v>45811</v>
      </c>
      <c r="B190" s="1" t="str">
        <f>TEXT(Tabela1[[#This Row],[Data]],"mmmm")</f>
        <v>czerwiec</v>
      </c>
      <c r="C190" s="1" t="str">
        <f>TEXT(Tabela1[[#This Row],[Data]],"dddd")</f>
        <v>wtorek</v>
      </c>
      <c r="D190">
        <f>WEEKNUM(Tabela1[[#This Row],[Data]],2)</f>
        <v>23</v>
      </c>
      <c r="E190" t="str">
        <f>IF(WEEKDAY(Tabela1[[#This Row],[Data]],2)&gt;5,"TAK","NIE")</f>
        <v>NIE</v>
      </c>
      <c r="F190" s="2">
        <f>IF(Tabela1[[#This Row],[Wypadki drogowe]]=0,0,Tabela1[[#This Row],[Zabici w wypadkach]]/Tabela1[[#This Row],[Wypadki drogowe]])</f>
        <v>3.5087719298245612E-2</v>
      </c>
      <c r="G190" s="40">
        <f>(Tabela1[[#This Row],[Zatrzymani na gorącym uczynku]]/Tabela1[[#This Row],[Interwencje]])*1000</f>
        <v>31.82880776838698</v>
      </c>
      <c r="H190">
        <v>16683</v>
      </c>
      <c r="I190">
        <v>531</v>
      </c>
      <c r="J190">
        <v>407</v>
      </c>
      <c r="K190">
        <v>226</v>
      </c>
      <c r="L190">
        <v>57</v>
      </c>
      <c r="M190">
        <v>2</v>
      </c>
      <c r="N190">
        <v>61</v>
      </c>
    </row>
    <row r="191" spans="1:14" x14ac:dyDescent="0.3">
      <c r="A191" s="1">
        <v>45810</v>
      </c>
      <c r="B191" s="1" t="str">
        <f>TEXT(Tabela1[[#This Row],[Data]],"mmmm")</f>
        <v>czerwiec</v>
      </c>
      <c r="C191" s="1" t="str">
        <f>TEXT(Tabela1[[#This Row],[Data]],"dddd")</f>
        <v>poniedziałek</v>
      </c>
      <c r="D191">
        <f>WEEKNUM(Tabela1[[#This Row],[Data]],2)</f>
        <v>23</v>
      </c>
      <c r="E191" t="str">
        <f>IF(WEEKDAY(Tabela1[[#This Row],[Data]],2)&gt;5,"TAK","NIE")</f>
        <v>NIE</v>
      </c>
      <c r="F191" s="2">
        <f>IF(Tabela1[[#This Row],[Wypadki drogowe]]=0,0,Tabela1[[#This Row],[Zabici w wypadkach]]/Tabela1[[#This Row],[Wypadki drogowe]])</f>
        <v>5.8823529411764705E-2</v>
      </c>
      <c r="G191" s="40">
        <f>(Tabela1[[#This Row],[Zatrzymani na gorącym uczynku]]/Tabela1[[#This Row],[Interwencje]])*1000</f>
        <v>33.477321814254864</v>
      </c>
      <c r="H191">
        <v>16668</v>
      </c>
      <c r="I191">
        <v>558</v>
      </c>
      <c r="J191">
        <v>396</v>
      </c>
      <c r="K191">
        <v>294</v>
      </c>
      <c r="L191">
        <v>68</v>
      </c>
      <c r="M191">
        <v>4</v>
      </c>
      <c r="N191">
        <v>72</v>
      </c>
    </row>
    <row r="192" spans="1:14" x14ac:dyDescent="0.3">
      <c r="A192" s="1">
        <v>45809</v>
      </c>
      <c r="B192" s="1" t="str">
        <f>TEXT(Tabela1[[#This Row],[Data]],"mmmm")</f>
        <v>czerwiec</v>
      </c>
      <c r="C192" s="1" t="str">
        <f>TEXT(Tabela1[[#This Row],[Data]],"dddd")</f>
        <v>niedziela</v>
      </c>
      <c r="D192">
        <f>WEEKNUM(Tabela1[[#This Row],[Data]],2)</f>
        <v>22</v>
      </c>
      <c r="E192" t="str">
        <f>IF(WEEKDAY(Tabela1[[#This Row],[Data]],2)&gt;5,"TAK","NIE")</f>
        <v>TAK</v>
      </c>
      <c r="F192" s="2">
        <f>IF(Tabela1[[#This Row],[Wypadki drogowe]]=0,0,Tabela1[[#This Row],[Zabici w wypadkach]]/Tabela1[[#This Row],[Wypadki drogowe]])</f>
        <v>5.7142857142857141E-2</v>
      </c>
      <c r="G192" s="40">
        <f>(Tabela1[[#This Row],[Zatrzymani na gorącym uczynku]]/Tabela1[[#This Row],[Interwencje]])*1000</f>
        <v>35.005253553060889</v>
      </c>
      <c r="H192">
        <v>18083</v>
      </c>
      <c r="I192">
        <v>633</v>
      </c>
      <c r="J192">
        <v>315</v>
      </c>
      <c r="K192">
        <v>391</v>
      </c>
      <c r="L192">
        <v>70</v>
      </c>
      <c r="M192">
        <v>4</v>
      </c>
      <c r="N192">
        <v>78</v>
      </c>
    </row>
    <row r="193" spans="1:14" x14ac:dyDescent="0.3">
      <c r="A193" s="1">
        <v>45808</v>
      </c>
      <c r="B193" s="1" t="str">
        <f>TEXT(Tabela1[[#This Row],[Data]],"mmmm")</f>
        <v>maj</v>
      </c>
      <c r="C193" s="1" t="str">
        <f>TEXT(Tabela1[[#This Row],[Data]],"dddd")</f>
        <v>sobota</v>
      </c>
      <c r="D193">
        <f>WEEKNUM(Tabela1[[#This Row],[Data]],2)</f>
        <v>22</v>
      </c>
      <c r="E193" t="str">
        <f>IF(WEEKDAY(Tabela1[[#This Row],[Data]],2)&gt;5,"TAK","NIE")</f>
        <v>TAK</v>
      </c>
      <c r="F193" s="2">
        <f>IF(Tabela1[[#This Row],[Wypadki drogowe]]=0,0,Tabela1[[#This Row],[Zabici w wypadkach]]/Tabela1[[#This Row],[Wypadki drogowe]])</f>
        <v>0.11666666666666667</v>
      </c>
      <c r="G193" s="40">
        <f>(Tabela1[[#This Row],[Zatrzymani na gorącym uczynku]]/Tabela1[[#This Row],[Interwencje]])*1000</f>
        <v>32.020911615749064</v>
      </c>
      <c r="H193">
        <v>18363</v>
      </c>
      <c r="I193">
        <v>588</v>
      </c>
      <c r="J193">
        <v>262</v>
      </c>
      <c r="K193">
        <v>340</v>
      </c>
      <c r="L193">
        <v>60</v>
      </c>
      <c r="M193">
        <v>7</v>
      </c>
      <c r="N193">
        <v>71</v>
      </c>
    </row>
    <row r="194" spans="1:14" x14ac:dyDescent="0.3">
      <c r="A194" s="1">
        <v>45807</v>
      </c>
      <c r="B194" s="1" t="str">
        <f>TEXT(Tabela1[[#This Row],[Data]],"mmmm")</f>
        <v>maj</v>
      </c>
      <c r="C194" s="1" t="str">
        <f>TEXT(Tabela1[[#This Row],[Data]],"dddd")</f>
        <v>piątek</v>
      </c>
      <c r="D194">
        <f>WEEKNUM(Tabela1[[#This Row],[Data]],2)</f>
        <v>22</v>
      </c>
      <c r="E194" t="str">
        <f>IF(WEEKDAY(Tabela1[[#This Row],[Data]],2)&gt;5,"TAK","NIE")</f>
        <v>NIE</v>
      </c>
      <c r="F194" s="2">
        <f>IF(Tabela1[[#This Row],[Wypadki drogowe]]=0,0,Tabela1[[#This Row],[Zabici w wypadkach]]/Tabela1[[#This Row],[Wypadki drogowe]])</f>
        <v>0.10256410256410256</v>
      </c>
      <c r="G194" s="40">
        <f>(Tabela1[[#This Row],[Zatrzymani na gorącym uczynku]]/Tabela1[[#This Row],[Interwencje]])*1000</f>
        <v>28.505878979065098</v>
      </c>
      <c r="H194">
        <v>17435</v>
      </c>
      <c r="I194">
        <v>497</v>
      </c>
      <c r="J194">
        <v>387</v>
      </c>
      <c r="K194">
        <v>243</v>
      </c>
      <c r="L194">
        <v>78</v>
      </c>
      <c r="M194">
        <v>8</v>
      </c>
      <c r="N194">
        <v>72</v>
      </c>
    </row>
    <row r="195" spans="1:14" x14ac:dyDescent="0.3">
      <c r="A195" s="1">
        <v>45806</v>
      </c>
      <c r="B195" s="1" t="str">
        <f>TEXT(Tabela1[[#This Row],[Data]],"mmmm")</f>
        <v>maj</v>
      </c>
      <c r="C195" s="1" t="str">
        <f>TEXT(Tabela1[[#This Row],[Data]],"dddd")</f>
        <v>czwartek</v>
      </c>
      <c r="D195">
        <f>WEEKNUM(Tabela1[[#This Row],[Data]],2)</f>
        <v>22</v>
      </c>
      <c r="E195" t="str">
        <f>IF(WEEKDAY(Tabela1[[#This Row],[Data]],2)&gt;5,"TAK","NIE")</f>
        <v>NIE</v>
      </c>
      <c r="F195" s="2">
        <f>IF(Tabela1[[#This Row],[Wypadki drogowe]]=0,0,Tabela1[[#This Row],[Zabici w wypadkach]]/Tabela1[[#This Row],[Wypadki drogowe]])</f>
        <v>3.1746031746031744E-2</v>
      </c>
      <c r="G195" s="40">
        <f>(Tabela1[[#This Row],[Zatrzymani na gorącym uczynku]]/Tabela1[[#This Row],[Interwencje]])*1000</f>
        <v>34.447234563131801</v>
      </c>
      <c r="H195">
        <v>15531</v>
      </c>
      <c r="I195">
        <v>535</v>
      </c>
      <c r="J195">
        <v>475</v>
      </c>
      <c r="K195">
        <v>210</v>
      </c>
      <c r="L195">
        <v>63</v>
      </c>
      <c r="M195">
        <v>2</v>
      </c>
      <c r="N195">
        <v>74</v>
      </c>
    </row>
    <row r="196" spans="1:14" x14ac:dyDescent="0.3">
      <c r="A196" s="1">
        <v>45805</v>
      </c>
      <c r="B196" s="1" t="str">
        <f>TEXT(Tabela1[[#This Row],[Data]],"mmmm")</f>
        <v>maj</v>
      </c>
      <c r="C196" s="1" t="str">
        <f>TEXT(Tabela1[[#This Row],[Data]],"dddd")</f>
        <v>środa</v>
      </c>
      <c r="D196">
        <f>WEEKNUM(Tabela1[[#This Row],[Data]],2)</f>
        <v>22</v>
      </c>
      <c r="E196" t="str">
        <f>IF(WEEKDAY(Tabela1[[#This Row],[Data]],2)&gt;5,"TAK","NIE")</f>
        <v>NIE</v>
      </c>
      <c r="F196" s="2">
        <f>IF(Tabela1[[#This Row],[Wypadki drogowe]]=0,0,Tabela1[[#This Row],[Zabici w wypadkach]]/Tabela1[[#This Row],[Wypadki drogowe]])</f>
        <v>2.8985507246376812E-2</v>
      </c>
      <c r="G196" s="40">
        <f>(Tabela1[[#This Row],[Zatrzymani na gorącym uczynku]]/Tabela1[[#This Row],[Interwencje]])*1000</f>
        <v>33.726385190820338</v>
      </c>
      <c r="H196">
        <v>15774</v>
      </c>
      <c r="I196">
        <v>532</v>
      </c>
      <c r="J196">
        <v>480</v>
      </c>
      <c r="K196">
        <v>207</v>
      </c>
      <c r="L196">
        <v>69</v>
      </c>
      <c r="M196">
        <v>2</v>
      </c>
      <c r="N196">
        <v>73</v>
      </c>
    </row>
    <row r="197" spans="1:14" x14ac:dyDescent="0.3">
      <c r="A197" s="1">
        <v>45804</v>
      </c>
      <c r="B197" s="1" t="str">
        <f>TEXT(Tabela1[[#This Row],[Data]],"mmmm")</f>
        <v>maj</v>
      </c>
      <c r="C197" s="1" t="str">
        <f>TEXT(Tabela1[[#This Row],[Data]],"dddd")</f>
        <v>wtorek</v>
      </c>
      <c r="D197">
        <f>WEEKNUM(Tabela1[[#This Row],[Data]],2)</f>
        <v>22</v>
      </c>
      <c r="E197" t="str">
        <f>IF(WEEKDAY(Tabela1[[#This Row],[Data]],2)&gt;5,"TAK","NIE")</f>
        <v>NIE</v>
      </c>
      <c r="F197" s="2">
        <f>IF(Tabela1[[#This Row],[Wypadki drogowe]]=0,0,Tabela1[[#This Row],[Zabici w wypadkach]]/Tabela1[[#This Row],[Wypadki drogowe]])</f>
        <v>7.5949367088607597E-2</v>
      </c>
      <c r="G197" s="40">
        <f>(Tabela1[[#This Row],[Zatrzymani na gorącym uczynku]]/Tabela1[[#This Row],[Interwencje]])*1000</f>
        <v>33.677648065521666</v>
      </c>
      <c r="H197">
        <v>16361</v>
      </c>
      <c r="I197">
        <v>551</v>
      </c>
      <c r="J197">
        <v>478</v>
      </c>
      <c r="K197">
        <v>198</v>
      </c>
      <c r="L197">
        <v>79</v>
      </c>
      <c r="M197">
        <v>6</v>
      </c>
      <c r="N197">
        <v>89</v>
      </c>
    </row>
    <row r="198" spans="1:14" x14ac:dyDescent="0.3">
      <c r="A198" s="1">
        <v>45803</v>
      </c>
      <c r="B198" s="1" t="str">
        <f>TEXT(Tabela1[[#This Row],[Data]],"mmmm")</f>
        <v>maj</v>
      </c>
      <c r="C198" s="1" t="str">
        <f>TEXT(Tabela1[[#This Row],[Data]],"dddd")</f>
        <v>poniedziałek</v>
      </c>
      <c r="D198">
        <f>WEEKNUM(Tabela1[[#This Row],[Data]],2)</f>
        <v>22</v>
      </c>
      <c r="E198" t="str">
        <f>IF(WEEKDAY(Tabela1[[#This Row],[Data]],2)&gt;5,"TAK","NIE")</f>
        <v>NIE</v>
      </c>
      <c r="F198" s="2">
        <f>IF(Tabela1[[#This Row],[Wypadki drogowe]]=0,0,Tabela1[[#This Row],[Zabici w wypadkach]]/Tabela1[[#This Row],[Wypadki drogowe]])</f>
        <v>5.8823529411764705E-2</v>
      </c>
      <c r="G198" s="40">
        <f>(Tabela1[[#This Row],[Zatrzymani na gorącym uczynku]]/Tabela1[[#This Row],[Interwencje]])*1000</f>
        <v>36.105450840550176</v>
      </c>
      <c r="H198">
        <v>15704</v>
      </c>
      <c r="I198">
        <v>567</v>
      </c>
      <c r="J198">
        <v>405</v>
      </c>
      <c r="K198">
        <v>349</v>
      </c>
      <c r="L198">
        <v>68</v>
      </c>
      <c r="M198">
        <v>4</v>
      </c>
      <c r="N198">
        <v>84</v>
      </c>
    </row>
    <row r="199" spans="1:14" x14ac:dyDescent="0.3">
      <c r="A199" s="1">
        <v>45802</v>
      </c>
      <c r="B199" s="1" t="str">
        <f>TEXT(Tabela1[[#This Row],[Data]],"mmmm")</f>
        <v>maj</v>
      </c>
      <c r="C199" s="1" t="str">
        <f>TEXT(Tabela1[[#This Row],[Data]],"dddd")</f>
        <v>niedziela</v>
      </c>
      <c r="D199">
        <f>WEEKNUM(Tabela1[[#This Row],[Data]],2)</f>
        <v>21</v>
      </c>
      <c r="E199" t="str">
        <f>IF(WEEKDAY(Tabela1[[#This Row],[Data]],2)&gt;5,"TAK","NIE")</f>
        <v>TAK</v>
      </c>
      <c r="F199" s="2">
        <f>IF(Tabela1[[#This Row],[Wypadki drogowe]]=0,0,Tabela1[[#This Row],[Zabici w wypadkach]]/Tabela1[[#This Row],[Wypadki drogowe]])</f>
        <v>5.1724137931034482E-2</v>
      </c>
      <c r="G199" s="40">
        <f>(Tabela1[[#This Row],[Zatrzymani na gorącym uczynku]]/Tabela1[[#This Row],[Interwencje]])*1000</f>
        <v>38.153589083060645</v>
      </c>
      <c r="H199">
        <v>14363</v>
      </c>
      <c r="I199">
        <v>548</v>
      </c>
      <c r="J199">
        <v>216</v>
      </c>
      <c r="K199">
        <v>288</v>
      </c>
      <c r="L199">
        <v>58</v>
      </c>
      <c r="M199">
        <v>3</v>
      </c>
      <c r="N199">
        <v>65</v>
      </c>
    </row>
    <row r="200" spans="1:14" x14ac:dyDescent="0.3">
      <c r="A200" s="1">
        <v>45801</v>
      </c>
      <c r="B200" s="1" t="str">
        <f>TEXT(Tabela1[[#This Row],[Data]],"mmmm")</f>
        <v>maj</v>
      </c>
      <c r="C200" s="1" t="str">
        <f>TEXT(Tabela1[[#This Row],[Data]],"dddd")</f>
        <v>sobota</v>
      </c>
      <c r="D200">
        <f>WEEKNUM(Tabela1[[#This Row],[Data]],2)</f>
        <v>21</v>
      </c>
      <c r="E200" t="str">
        <f>IF(WEEKDAY(Tabela1[[#This Row],[Data]],2)&gt;5,"TAK","NIE")</f>
        <v>TAK</v>
      </c>
      <c r="F200" s="2">
        <f>IF(Tabela1[[#This Row],[Wypadki drogowe]]=0,0,Tabela1[[#This Row],[Zabici w wypadkach]]/Tabela1[[#This Row],[Wypadki drogowe]])</f>
        <v>6.3492063492063489E-2</v>
      </c>
      <c r="G200" s="40">
        <f>(Tabela1[[#This Row],[Zatrzymani na gorącym uczynku]]/Tabela1[[#This Row],[Interwencje]])*1000</f>
        <v>32.070317139802832</v>
      </c>
      <c r="H200">
        <v>16838</v>
      </c>
      <c r="I200">
        <v>540</v>
      </c>
      <c r="J200">
        <v>238</v>
      </c>
      <c r="K200">
        <v>264</v>
      </c>
      <c r="L200">
        <v>63</v>
      </c>
      <c r="M200">
        <v>4</v>
      </c>
      <c r="N200">
        <v>69</v>
      </c>
    </row>
    <row r="201" spans="1:14" x14ac:dyDescent="0.3">
      <c r="A201" s="1">
        <v>45800</v>
      </c>
      <c r="B201" s="1" t="str">
        <f>TEXT(Tabela1[[#This Row],[Data]],"mmmm")</f>
        <v>maj</v>
      </c>
      <c r="C201" s="1" t="str">
        <f>TEXT(Tabela1[[#This Row],[Data]],"dddd")</f>
        <v>piątek</v>
      </c>
      <c r="D201">
        <f>WEEKNUM(Tabela1[[#This Row],[Data]],2)</f>
        <v>21</v>
      </c>
      <c r="E201" t="str">
        <f>IF(WEEKDAY(Tabela1[[#This Row],[Data]],2)&gt;5,"TAK","NIE")</f>
        <v>NIE</v>
      </c>
      <c r="F201" s="2">
        <f>IF(Tabela1[[#This Row],[Wypadki drogowe]]=0,0,Tabela1[[#This Row],[Zabici w wypadkach]]/Tabela1[[#This Row],[Wypadki drogowe]])</f>
        <v>6.1538461538461542E-2</v>
      </c>
      <c r="G201" s="40">
        <f>(Tabela1[[#This Row],[Zatrzymani na gorącym uczynku]]/Tabela1[[#This Row],[Interwencje]])*1000</f>
        <v>30.413553738455203</v>
      </c>
      <c r="H201">
        <v>16999</v>
      </c>
      <c r="I201">
        <v>517</v>
      </c>
      <c r="J201">
        <v>437</v>
      </c>
      <c r="K201">
        <v>220</v>
      </c>
      <c r="L201">
        <v>65</v>
      </c>
      <c r="M201">
        <v>4</v>
      </c>
      <c r="N201">
        <v>70</v>
      </c>
    </row>
    <row r="202" spans="1:14" x14ac:dyDescent="0.3">
      <c r="A202" s="1">
        <v>45799</v>
      </c>
      <c r="B202" s="1" t="str">
        <f>TEXT(Tabela1[[#This Row],[Data]],"mmmm")</f>
        <v>maj</v>
      </c>
      <c r="C202" s="1" t="str">
        <f>TEXT(Tabela1[[#This Row],[Data]],"dddd")</f>
        <v>czwartek</v>
      </c>
      <c r="D202">
        <f>WEEKNUM(Tabela1[[#This Row],[Data]],2)</f>
        <v>21</v>
      </c>
      <c r="E202" t="str">
        <f>IF(WEEKDAY(Tabela1[[#This Row],[Data]],2)&gt;5,"TAK","NIE")</f>
        <v>NIE</v>
      </c>
      <c r="F202" s="2">
        <f>IF(Tabela1[[#This Row],[Wypadki drogowe]]=0,0,Tabela1[[#This Row],[Zabici w wypadkach]]/Tabela1[[#This Row],[Wypadki drogowe]])</f>
        <v>6.5573770491803282E-2</v>
      </c>
      <c r="G202" s="40">
        <f>(Tabela1[[#This Row],[Zatrzymani na gorącym uczynku]]/Tabela1[[#This Row],[Interwencje]])*1000</f>
        <v>35.5660201995167</v>
      </c>
      <c r="H202">
        <v>16139</v>
      </c>
      <c r="I202">
        <v>574</v>
      </c>
      <c r="J202">
        <v>487</v>
      </c>
      <c r="K202">
        <v>251</v>
      </c>
      <c r="L202">
        <v>61</v>
      </c>
      <c r="M202">
        <v>4</v>
      </c>
      <c r="N202">
        <v>65</v>
      </c>
    </row>
    <row r="203" spans="1:14" x14ac:dyDescent="0.3">
      <c r="A203" s="1">
        <v>45798</v>
      </c>
      <c r="B203" s="1" t="str">
        <f>TEXT(Tabela1[[#This Row],[Data]],"mmmm")</f>
        <v>maj</v>
      </c>
      <c r="C203" s="1" t="str">
        <f>TEXT(Tabela1[[#This Row],[Data]],"dddd")</f>
        <v>środa</v>
      </c>
      <c r="D203">
        <f>WEEKNUM(Tabela1[[#This Row],[Data]],2)</f>
        <v>21</v>
      </c>
      <c r="E203" t="str">
        <f>IF(WEEKDAY(Tabela1[[#This Row],[Data]],2)&gt;5,"TAK","NIE")</f>
        <v>NIE</v>
      </c>
      <c r="F203" s="2">
        <f>IF(Tabela1[[#This Row],[Wypadki drogowe]]=0,0,Tabela1[[#This Row],[Zabici w wypadkach]]/Tabela1[[#This Row],[Wypadki drogowe]])</f>
        <v>9.0909090909090912E-2</v>
      </c>
      <c r="G203" s="40">
        <f>(Tabela1[[#This Row],[Zatrzymani na gorącym uczynku]]/Tabela1[[#This Row],[Interwencje]])*1000</f>
        <v>35.167916133357714</v>
      </c>
      <c r="H203">
        <v>16407</v>
      </c>
      <c r="I203">
        <v>577</v>
      </c>
      <c r="J203">
        <v>420</v>
      </c>
      <c r="K203">
        <v>221</v>
      </c>
      <c r="L203">
        <v>66</v>
      </c>
      <c r="M203">
        <v>6</v>
      </c>
      <c r="N203">
        <v>72</v>
      </c>
    </row>
    <row r="204" spans="1:14" x14ac:dyDescent="0.3">
      <c r="A204" s="1">
        <v>45797</v>
      </c>
      <c r="B204" s="1" t="str">
        <f>TEXT(Tabela1[[#This Row],[Data]],"mmmm")</f>
        <v>maj</v>
      </c>
      <c r="C204" s="1" t="str">
        <f>TEXT(Tabela1[[#This Row],[Data]],"dddd")</f>
        <v>wtorek</v>
      </c>
      <c r="D204">
        <f>WEEKNUM(Tabela1[[#This Row],[Data]],2)</f>
        <v>21</v>
      </c>
      <c r="E204" t="str">
        <f>IF(WEEKDAY(Tabela1[[#This Row],[Data]],2)&gt;5,"TAK","NIE")</f>
        <v>NIE</v>
      </c>
      <c r="F204" s="2">
        <f>IF(Tabela1[[#This Row],[Wypadki drogowe]]=0,0,Tabela1[[#This Row],[Zabici w wypadkach]]/Tabela1[[#This Row],[Wypadki drogowe]])</f>
        <v>7.575757575757576E-2</v>
      </c>
      <c r="G204" s="40">
        <f>(Tabela1[[#This Row],[Zatrzymani na gorącym uczynku]]/Tabela1[[#This Row],[Interwencje]])*1000</f>
        <v>32.160865822162101</v>
      </c>
      <c r="H204">
        <v>16262</v>
      </c>
      <c r="I204">
        <v>523</v>
      </c>
      <c r="J204">
        <v>423</v>
      </c>
      <c r="K204">
        <v>203</v>
      </c>
      <c r="L204">
        <v>66</v>
      </c>
      <c r="M204">
        <v>5</v>
      </c>
      <c r="N204">
        <v>78</v>
      </c>
    </row>
    <row r="205" spans="1:14" x14ac:dyDescent="0.3">
      <c r="A205" s="1">
        <v>45796</v>
      </c>
      <c r="B205" s="1" t="str">
        <f>TEXT(Tabela1[[#This Row],[Data]],"mmmm")</f>
        <v>maj</v>
      </c>
      <c r="C205" s="1" t="str">
        <f>TEXT(Tabela1[[#This Row],[Data]],"dddd")</f>
        <v>poniedziałek</v>
      </c>
      <c r="D205">
        <f>WEEKNUM(Tabela1[[#This Row],[Data]],2)</f>
        <v>21</v>
      </c>
      <c r="E205" t="str">
        <f>IF(WEEKDAY(Tabela1[[#This Row],[Data]],2)&gt;5,"TAK","NIE")</f>
        <v>NIE</v>
      </c>
      <c r="F205" s="2">
        <f>IF(Tabela1[[#This Row],[Wypadki drogowe]]=0,0,Tabela1[[#This Row],[Zabici w wypadkach]]/Tabela1[[#This Row],[Wypadki drogowe]])</f>
        <v>3.2786885245901641E-2</v>
      </c>
      <c r="G205" s="40">
        <f>(Tabela1[[#This Row],[Zatrzymani na gorącym uczynku]]/Tabela1[[#This Row],[Interwencje]])*1000</f>
        <v>33.060072570891009</v>
      </c>
      <c r="H205">
        <v>14882</v>
      </c>
      <c r="I205">
        <v>492</v>
      </c>
      <c r="J205">
        <v>344</v>
      </c>
      <c r="K205">
        <v>233</v>
      </c>
      <c r="L205">
        <v>61</v>
      </c>
      <c r="M205">
        <v>2</v>
      </c>
      <c r="N205">
        <v>69</v>
      </c>
    </row>
    <row r="206" spans="1:14" x14ac:dyDescent="0.3">
      <c r="A206" s="1">
        <v>45795</v>
      </c>
      <c r="B206" s="1" t="str">
        <f>TEXT(Tabela1[[#This Row],[Data]],"mmmm")</f>
        <v>maj</v>
      </c>
      <c r="C206" s="1" t="str">
        <f>TEXT(Tabela1[[#This Row],[Data]],"dddd")</f>
        <v>niedziela</v>
      </c>
      <c r="D206">
        <f>WEEKNUM(Tabela1[[#This Row],[Data]],2)</f>
        <v>20</v>
      </c>
      <c r="E206" t="str">
        <f>IF(WEEKDAY(Tabela1[[#This Row],[Data]],2)&gt;5,"TAK","NIE")</f>
        <v>TAK</v>
      </c>
      <c r="F206" s="2">
        <f>IF(Tabela1[[#This Row],[Wypadki drogowe]]=0,0,Tabela1[[#This Row],[Zabici w wypadkach]]/Tabela1[[#This Row],[Wypadki drogowe]])</f>
        <v>3.5714285714285712E-2</v>
      </c>
      <c r="G206" s="40">
        <f>(Tabela1[[#This Row],[Zatrzymani na gorącym uczynku]]/Tabela1[[#This Row],[Interwencje]])*1000</f>
        <v>40.404040404040408</v>
      </c>
      <c r="H206">
        <v>14256</v>
      </c>
      <c r="I206">
        <v>576</v>
      </c>
      <c r="J206">
        <v>261</v>
      </c>
      <c r="K206">
        <v>316</v>
      </c>
      <c r="L206">
        <v>28</v>
      </c>
      <c r="M206">
        <v>1</v>
      </c>
      <c r="N206">
        <v>44</v>
      </c>
    </row>
    <row r="207" spans="1:14" x14ac:dyDescent="0.3">
      <c r="A207" s="1">
        <v>45794</v>
      </c>
      <c r="B207" s="1" t="str">
        <f>TEXT(Tabela1[[#This Row],[Data]],"mmmm")</f>
        <v>maj</v>
      </c>
      <c r="C207" s="1" t="str">
        <f>TEXT(Tabela1[[#This Row],[Data]],"dddd")</f>
        <v>sobota</v>
      </c>
      <c r="D207">
        <f>WEEKNUM(Tabela1[[#This Row],[Data]],2)</f>
        <v>20</v>
      </c>
      <c r="E207" t="str">
        <f>IF(WEEKDAY(Tabela1[[#This Row],[Data]],2)&gt;5,"TAK","NIE")</f>
        <v>TAK</v>
      </c>
      <c r="F207" s="2">
        <f>IF(Tabela1[[#This Row],[Wypadki drogowe]]=0,0,Tabela1[[#This Row],[Zabici w wypadkach]]/Tabela1[[#This Row],[Wypadki drogowe]])</f>
        <v>5.128205128205128E-2</v>
      </c>
      <c r="G207" s="40">
        <f>(Tabela1[[#This Row],[Zatrzymani na gorącym uczynku]]/Tabela1[[#This Row],[Interwencje]])*1000</f>
        <v>35.70737995488237</v>
      </c>
      <c r="H207">
        <v>15515</v>
      </c>
      <c r="I207">
        <v>554</v>
      </c>
      <c r="J207">
        <v>263</v>
      </c>
      <c r="K207">
        <v>293</v>
      </c>
      <c r="L207">
        <v>39</v>
      </c>
      <c r="M207">
        <v>2</v>
      </c>
      <c r="N207">
        <v>46</v>
      </c>
    </row>
    <row r="208" spans="1:14" x14ac:dyDescent="0.3">
      <c r="A208" s="1">
        <v>45793</v>
      </c>
      <c r="B208" s="1" t="str">
        <f>TEXT(Tabela1[[#This Row],[Data]],"mmmm")</f>
        <v>maj</v>
      </c>
      <c r="C208" s="1" t="str">
        <f>TEXT(Tabela1[[#This Row],[Data]],"dddd")</f>
        <v>piątek</v>
      </c>
      <c r="D208">
        <f>WEEKNUM(Tabela1[[#This Row],[Data]],2)</f>
        <v>20</v>
      </c>
      <c r="E208" t="str">
        <f>IF(WEEKDAY(Tabela1[[#This Row],[Data]],2)&gt;5,"TAK","NIE")</f>
        <v>NIE</v>
      </c>
      <c r="F208" s="2">
        <f>IF(Tabela1[[#This Row],[Wypadki drogowe]]=0,0,Tabela1[[#This Row],[Zabici w wypadkach]]/Tabela1[[#This Row],[Wypadki drogowe]])</f>
        <v>0.11666666666666667</v>
      </c>
      <c r="G208" s="40">
        <f>(Tabela1[[#This Row],[Zatrzymani na gorącym uczynku]]/Tabela1[[#This Row],[Interwencje]])*1000</f>
        <v>33.736312424837017</v>
      </c>
      <c r="H208">
        <v>15799</v>
      </c>
      <c r="I208">
        <v>533</v>
      </c>
      <c r="J208">
        <v>382</v>
      </c>
      <c r="K208">
        <v>237</v>
      </c>
      <c r="L208">
        <v>60</v>
      </c>
      <c r="M208">
        <v>7</v>
      </c>
      <c r="N208">
        <v>59</v>
      </c>
    </row>
    <row r="209" spans="1:14" x14ac:dyDescent="0.3">
      <c r="A209" s="1">
        <v>45792</v>
      </c>
      <c r="B209" s="1" t="str">
        <f>TEXT(Tabela1[[#This Row],[Data]],"mmmm")</f>
        <v>maj</v>
      </c>
      <c r="C209" s="1" t="str">
        <f>TEXT(Tabela1[[#This Row],[Data]],"dddd")</f>
        <v>czwartek</v>
      </c>
      <c r="D209">
        <f>WEEKNUM(Tabela1[[#This Row],[Data]],2)</f>
        <v>20</v>
      </c>
      <c r="E209" t="str">
        <f>IF(WEEKDAY(Tabela1[[#This Row],[Data]],2)&gt;5,"TAK","NIE")</f>
        <v>NIE</v>
      </c>
      <c r="F209" s="2">
        <f>IF(Tabela1[[#This Row],[Wypadki drogowe]]=0,0,Tabela1[[#This Row],[Zabici w wypadkach]]/Tabela1[[#This Row],[Wypadki drogowe]])</f>
        <v>0.16363636363636364</v>
      </c>
      <c r="G209" s="40">
        <f>(Tabela1[[#This Row],[Zatrzymani na gorącym uczynku]]/Tabela1[[#This Row],[Interwencje]])*1000</f>
        <v>31.818181818181817</v>
      </c>
      <c r="H209">
        <v>15400</v>
      </c>
      <c r="I209">
        <v>490</v>
      </c>
      <c r="J209">
        <v>381</v>
      </c>
      <c r="K209">
        <v>195</v>
      </c>
      <c r="L209">
        <v>55</v>
      </c>
      <c r="M209">
        <v>9</v>
      </c>
      <c r="N209">
        <v>65</v>
      </c>
    </row>
    <row r="210" spans="1:14" x14ac:dyDescent="0.3">
      <c r="A210" s="1">
        <v>45791</v>
      </c>
      <c r="B210" s="1" t="str">
        <f>TEXT(Tabela1[[#This Row],[Data]],"mmmm")</f>
        <v>maj</v>
      </c>
      <c r="C210" s="1" t="str">
        <f>TEXT(Tabela1[[#This Row],[Data]],"dddd")</f>
        <v>środa</v>
      </c>
      <c r="D210">
        <f>WEEKNUM(Tabela1[[#This Row],[Data]],2)</f>
        <v>20</v>
      </c>
      <c r="E210" t="str">
        <f>IF(WEEKDAY(Tabela1[[#This Row],[Data]],2)&gt;5,"TAK","NIE")</f>
        <v>NIE</v>
      </c>
      <c r="F210" s="2">
        <f>IF(Tabela1[[#This Row],[Wypadki drogowe]]=0,0,Tabela1[[#This Row],[Zabici w wypadkach]]/Tabela1[[#This Row],[Wypadki drogowe]])</f>
        <v>3.2258064516129031E-2</v>
      </c>
      <c r="G210" s="40">
        <f>(Tabela1[[#This Row],[Zatrzymani na gorącym uczynku]]/Tabela1[[#This Row],[Interwencje]])*1000</f>
        <v>35.809104448617497</v>
      </c>
      <c r="H210">
        <v>15443</v>
      </c>
      <c r="I210">
        <v>553</v>
      </c>
      <c r="J210">
        <v>394</v>
      </c>
      <c r="K210">
        <v>147</v>
      </c>
      <c r="L210">
        <v>62</v>
      </c>
      <c r="M210">
        <v>2</v>
      </c>
      <c r="N210">
        <v>70</v>
      </c>
    </row>
    <row r="211" spans="1:14" x14ac:dyDescent="0.3">
      <c r="A211" s="1">
        <v>45790</v>
      </c>
      <c r="B211" s="1" t="str">
        <f>TEXT(Tabela1[[#This Row],[Data]],"mmmm")</f>
        <v>maj</v>
      </c>
      <c r="C211" s="1" t="str">
        <f>TEXT(Tabela1[[#This Row],[Data]],"dddd")</f>
        <v>wtorek</v>
      </c>
      <c r="D211">
        <f>WEEKNUM(Tabela1[[#This Row],[Data]],2)</f>
        <v>20</v>
      </c>
      <c r="E211" t="str">
        <f>IF(WEEKDAY(Tabela1[[#This Row],[Data]],2)&gt;5,"TAK","NIE")</f>
        <v>NIE</v>
      </c>
      <c r="F211" s="2">
        <f>IF(Tabela1[[#This Row],[Wypadki drogowe]]=0,0,Tabela1[[#This Row],[Zabici w wypadkach]]/Tabela1[[#This Row],[Wypadki drogowe]])</f>
        <v>5.3571428571428568E-2</v>
      </c>
      <c r="G211" s="40">
        <f>(Tabela1[[#This Row],[Zatrzymani na gorącym uczynku]]/Tabela1[[#This Row],[Interwencje]])*1000</f>
        <v>33.891651400157031</v>
      </c>
      <c r="H211">
        <v>15284</v>
      </c>
      <c r="I211">
        <v>518</v>
      </c>
      <c r="J211">
        <v>444</v>
      </c>
      <c r="K211">
        <v>208</v>
      </c>
      <c r="L211">
        <v>56</v>
      </c>
      <c r="M211">
        <v>3</v>
      </c>
      <c r="N211">
        <v>58</v>
      </c>
    </row>
    <row r="212" spans="1:14" x14ac:dyDescent="0.3">
      <c r="A212" s="1">
        <v>45789</v>
      </c>
      <c r="B212" s="1" t="str">
        <f>TEXT(Tabela1[[#This Row],[Data]],"mmmm")</f>
        <v>maj</v>
      </c>
      <c r="C212" s="1" t="str">
        <f>TEXT(Tabela1[[#This Row],[Data]],"dddd")</f>
        <v>poniedziałek</v>
      </c>
      <c r="D212">
        <f>WEEKNUM(Tabela1[[#This Row],[Data]],2)</f>
        <v>20</v>
      </c>
      <c r="E212" t="str">
        <f>IF(WEEKDAY(Tabela1[[#This Row],[Data]],2)&gt;5,"TAK","NIE")</f>
        <v>NIE</v>
      </c>
      <c r="F212" s="2">
        <f>IF(Tabela1[[#This Row],[Wypadki drogowe]]=0,0,Tabela1[[#This Row],[Zabici w wypadkach]]/Tabela1[[#This Row],[Wypadki drogowe]])</f>
        <v>0.10714285714285714</v>
      </c>
      <c r="G212" s="40">
        <f>(Tabela1[[#This Row],[Zatrzymani na gorącym uczynku]]/Tabela1[[#This Row],[Interwencje]])*1000</f>
        <v>39.813824768853387</v>
      </c>
      <c r="H212">
        <v>15899</v>
      </c>
      <c r="I212">
        <v>633</v>
      </c>
      <c r="J212">
        <v>374</v>
      </c>
      <c r="K212">
        <v>360</v>
      </c>
      <c r="L212">
        <v>56</v>
      </c>
      <c r="M212">
        <v>6</v>
      </c>
      <c r="N212">
        <v>58</v>
      </c>
    </row>
    <row r="213" spans="1:14" x14ac:dyDescent="0.3">
      <c r="A213" s="1">
        <v>45788</v>
      </c>
      <c r="B213" s="1" t="str">
        <f>TEXT(Tabela1[[#This Row],[Data]],"mmmm")</f>
        <v>maj</v>
      </c>
      <c r="C213" s="1" t="str">
        <f>TEXT(Tabela1[[#This Row],[Data]],"dddd")</f>
        <v>niedziela</v>
      </c>
      <c r="D213">
        <f>WEEKNUM(Tabela1[[#This Row],[Data]],2)</f>
        <v>19</v>
      </c>
      <c r="E213" t="str">
        <f>IF(WEEKDAY(Tabela1[[#This Row],[Data]],2)&gt;5,"TAK","NIE")</f>
        <v>TAK</v>
      </c>
      <c r="F213" s="2">
        <f>IF(Tabela1[[#This Row],[Wypadki drogowe]]=0,0,Tabela1[[#This Row],[Zabici w wypadkach]]/Tabela1[[#This Row],[Wypadki drogowe]])</f>
        <v>6.8181818181818177E-2</v>
      </c>
      <c r="G213" s="40">
        <f>(Tabela1[[#This Row],[Zatrzymani na gorącym uczynku]]/Tabela1[[#This Row],[Interwencje]])*1000</f>
        <v>39.297409943435547</v>
      </c>
      <c r="H213">
        <v>13436</v>
      </c>
      <c r="I213">
        <v>528</v>
      </c>
      <c r="J213">
        <v>211</v>
      </c>
      <c r="K213">
        <v>261</v>
      </c>
      <c r="L213">
        <v>44</v>
      </c>
      <c r="M213">
        <v>3</v>
      </c>
      <c r="N213">
        <v>51</v>
      </c>
    </row>
    <row r="214" spans="1:14" x14ac:dyDescent="0.3">
      <c r="A214" s="1">
        <v>45787</v>
      </c>
      <c r="B214" s="1" t="str">
        <f>TEXT(Tabela1[[#This Row],[Data]],"mmmm")</f>
        <v>maj</v>
      </c>
      <c r="C214" s="1" t="str">
        <f>TEXT(Tabela1[[#This Row],[Data]],"dddd")</f>
        <v>sobota</v>
      </c>
      <c r="D214">
        <f>WEEKNUM(Tabela1[[#This Row],[Data]],2)</f>
        <v>19</v>
      </c>
      <c r="E214" t="str">
        <f>IF(WEEKDAY(Tabela1[[#This Row],[Data]],2)&gt;5,"TAK","NIE")</f>
        <v>TAK</v>
      </c>
      <c r="F214" s="2">
        <f>IF(Tabela1[[#This Row],[Wypadki drogowe]]=0,0,Tabela1[[#This Row],[Zabici w wypadkach]]/Tabela1[[#This Row],[Wypadki drogowe]])</f>
        <v>3.7037037037037035E-2</v>
      </c>
      <c r="G214" s="40">
        <f>(Tabela1[[#This Row],[Zatrzymani na gorącym uczynku]]/Tabela1[[#This Row],[Interwencje]])*1000</f>
        <v>33.408408408408413</v>
      </c>
      <c r="H214">
        <v>15984</v>
      </c>
      <c r="I214">
        <v>534</v>
      </c>
      <c r="J214">
        <v>226</v>
      </c>
      <c r="K214">
        <v>285</v>
      </c>
      <c r="L214">
        <v>54</v>
      </c>
      <c r="M214">
        <v>2</v>
      </c>
      <c r="N214">
        <v>59</v>
      </c>
    </row>
    <row r="215" spans="1:14" x14ac:dyDescent="0.3">
      <c r="A215" s="1">
        <v>45786</v>
      </c>
      <c r="B215" s="1" t="str">
        <f>TEXT(Tabela1[[#This Row],[Data]],"mmmm")</f>
        <v>maj</v>
      </c>
      <c r="C215" s="1" t="str">
        <f>TEXT(Tabela1[[#This Row],[Data]],"dddd")</f>
        <v>piątek</v>
      </c>
      <c r="D215">
        <f>WEEKNUM(Tabela1[[#This Row],[Data]],2)</f>
        <v>19</v>
      </c>
      <c r="E215" t="str">
        <f>IF(WEEKDAY(Tabela1[[#This Row],[Data]],2)&gt;5,"TAK","NIE")</f>
        <v>NIE</v>
      </c>
      <c r="F215" s="2">
        <f>IF(Tabela1[[#This Row],[Wypadki drogowe]]=0,0,Tabela1[[#This Row],[Zabici w wypadkach]]/Tabela1[[#This Row],[Wypadki drogowe]])</f>
        <v>0.13793103448275862</v>
      </c>
      <c r="G215" s="40">
        <f>(Tabela1[[#This Row],[Zatrzymani na gorącym uczynku]]/Tabela1[[#This Row],[Interwencje]])*1000</f>
        <v>34.104603518920221</v>
      </c>
      <c r="H215">
        <v>16596</v>
      </c>
      <c r="I215">
        <v>566</v>
      </c>
      <c r="J215">
        <v>407</v>
      </c>
      <c r="K215">
        <v>231</v>
      </c>
      <c r="L215">
        <v>58</v>
      </c>
      <c r="M215">
        <v>8</v>
      </c>
      <c r="N215">
        <v>66</v>
      </c>
    </row>
    <row r="216" spans="1:14" x14ac:dyDescent="0.3">
      <c r="A216" s="1">
        <v>45785</v>
      </c>
      <c r="B216" s="1" t="str">
        <f>TEXT(Tabela1[[#This Row],[Data]],"mmmm")</f>
        <v>maj</v>
      </c>
      <c r="C216" s="1" t="str">
        <f>TEXT(Tabela1[[#This Row],[Data]],"dddd")</f>
        <v>czwartek</v>
      </c>
      <c r="D216">
        <f>WEEKNUM(Tabela1[[#This Row],[Data]],2)</f>
        <v>19</v>
      </c>
      <c r="E216" t="str">
        <f>IF(WEEKDAY(Tabela1[[#This Row],[Data]],2)&gt;5,"TAK","NIE")</f>
        <v>NIE</v>
      </c>
      <c r="F216" s="2">
        <f>IF(Tabela1[[#This Row],[Wypadki drogowe]]=0,0,Tabela1[[#This Row],[Zabici w wypadkach]]/Tabela1[[#This Row],[Wypadki drogowe]])</f>
        <v>6.7796610169491525E-2</v>
      </c>
      <c r="G216" s="40">
        <f>(Tabela1[[#This Row],[Zatrzymani na gorącym uczynku]]/Tabela1[[#This Row],[Interwencje]])*1000</f>
        <v>31.707793476137766</v>
      </c>
      <c r="H216">
        <v>15359</v>
      </c>
      <c r="I216">
        <v>487</v>
      </c>
      <c r="J216">
        <v>439</v>
      </c>
      <c r="K216">
        <v>182</v>
      </c>
      <c r="L216">
        <v>59</v>
      </c>
      <c r="M216">
        <v>4</v>
      </c>
      <c r="N216">
        <v>63</v>
      </c>
    </row>
    <row r="217" spans="1:14" x14ac:dyDescent="0.3">
      <c r="A217" s="1">
        <v>45784</v>
      </c>
      <c r="B217" s="1" t="str">
        <f>TEXT(Tabela1[[#This Row],[Data]],"mmmm")</f>
        <v>maj</v>
      </c>
      <c r="C217" s="1" t="str">
        <f>TEXT(Tabela1[[#This Row],[Data]],"dddd")</f>
        <v>środa</v>
      </c>
      <c r="D217">
        <f>WEEKNUM(Tabela1[[#This Row],[Data]],2)</f>
        <v>19</v>
      </c>
      <c r="E217" t="str">
        <f>IF(WEEKDAY(Tabela1[[#This Row],[Data]],2)&gt;5,"TAK","NIE")</f>
        <v>NIE</v>
      </c>
      <c r="F217" s="2">
        <f>IF(Tabela1[[#This Row],[Wypadki drogowe]]=0,0,Tabela1[[#This Row],[Zabici w wypadkach]]/Tabela1[[#This Row],[Wypadki drogowe]])</f>
        <v>8.3333333333333329E-2</v>
      </c>
      <c r="G217" s="40">
        <f>(Tabela1[[#This Row],[Zatrzymani na gorącym uczynku]]/Tabela1[[#This Row],[Interwencje]])*1000</f>
        <v>33.277647844971597</v>
      </c>
      <c r="H217">
        <v>14965</v>
      </c>
      <c r="I217">
        <v>498</v>
      </c>
      <c r="J217">
        <v>416</v>
      </c>
      <c r="K217">
        <v>217</v>
      </c>
      <c r="L217">
        <v>60</v>
      </c>
      <c r="M217">
        <v>5</v>
      </c>
      <c r="N217">
        <v>68</v>
      </c>
    </row>
    <row r="218" spans="1:14" x14ac:dyDescent="0.3">
      <c r="A218" s="1">
        <v>45783</v>
      </c>
      <c r="B218" s="1" t="str">
        <f>TEXT(Tabela1[[#This Row],[Data]],"mmmm")</f>
        <v>maj</v>
      </c>
      <c r="C218" s="1" t="str">
        <f>TEXT(Tabela1[[#This Row],[Data]],"dddd")</f>
        <v>wtorek</v>
      </c>
      <c r="D218">
        <f>WEEKNUM(Tabela1[[#This Row],[Data]],2)</f>
        <v>19</v>
      </c>
      <c r="E218" t="str">
        <f>IF(WEEKDAY(Tabela1[[#This Row],[Data]],2)&gt;5,"TAK","NIE")</f>
        <v>NIE</v>
      </c>
      <c r="F218" s="2">
        <f>IF(Tabela1[[#This Row],[Wypadki drogowe]]=0,0,Tabela1[[#This Row],[Zabici w wypadkach]]/Tabela1[[#This Row],[Wypadki drogowe]])</f>
        <v>3.9215686274509803E-2</v>
      </c>
      <c r="G218" s="40">
        <f>(Tabela1[[#This Row],[Zatrzymani na gorącym uczynku]]/Tabela1[[#This Row],[Interwencje]])*1000</f>
        <v>33.436908943528778</v>
      </c>
      <c r="H218">
        <v>14804</v>
      </c>
      <c r="I218">
        <v>495</v>
      </c>
      <c r="J218">
        <v>392</v>
      </c>
      <c r="K218">
        <v>175</v>
      </c>
      <c r="L218">
        <v>51</v>
      </c>
      <c r="M218">
        <v>2</v>
      </c>
      <c r="N218">
        <v>61</v>
      </c>
    </row>
    <row r="219" spans="1:14" x14ac:dyDescent="0.3">
      <c r="A219" s="1">
        <v>45782</v>
      </c>
      <c r="B219" s="1" t="str">
        <f>TEXT(Tabela1[[#This Row],[Data]],"mmmm")</f>
        <v>maj</v>
      </c>
      <c r="C219" s="1" t="str">
        <f>TEXT(Tabela1[[#This Row],[Data]],"dddd")</f>
        <v>poniedziałek</v>
      </c>
      <c r="D219">
        <f>WEEKNUM(Tabela1[[#This Row],[Data]],2)</f>
        <v>19</v>
      </c>
      <c r="E219" t="str">
        <f>IF(WEEKDAY(Tabela1[[#This Row],[Data]],2)&gt;5,"TAK","NIE")</f>
        <v>NIE</v>
      </c>
      <c r="F219" s="2">
        <f>IF(Tabela1[[#This Row],[Wypadki drogowe]]=0,0,Tabela1[[#This Row],[Zabici w wypadkach]]/Tabela1[[#This Row],[Wypadki drogowe]])</f>
        <v>5.2631578947368418E-2</v>
      </c>
      <c r="G219" s="40">
        <f>(Tabela1[[#This Row],[Zatrzymani na gorącym uczynku]]/Tabela1[[#This Row],[Interwencje]])*1000</f>
        <v>42.536007538026652</v>
      </c>
      <c r="H219">
        <v>14858</v>
      </c>
      <c r="I219">
        <v>632</v>
      </c>
      <c r="J219">
        <v>299</v>
      </c>
      <c r="K219">
        <v>421</v>
      </c>
      <c r="L219">
        <v>57</v>
      </c>
      <c r="M219">
        <v>3</v>
      </c>
      <c r="N219">
        <v>62</v>
      </c>
    </row>
    <row r="220" spans="1:14" x14ac:dyDescent="0.3">
      <c r="A220" s="1">
        <v>45781</v>
      </c>
      <c r="B220" s="1" t="str">
        <f>TEXT(Tabela1[[#This Row],[Data]],"mmmm")</f>
        <v>maj</v>
      </c>
      <c r="C220" s="1" t="str">
        <f>TEXT(Tabela1[[#This Row],[Data]],"dddd")</f>
        <v>niedziela</v>
      </c>
      <c r="D220">
        <f>WEEKNUM(Tabela1[[#This Row],[Data]],2)</f>
        <v>18</v>
      </c>
      <c r="E220" t="str">
        <f>IF(WEEKDAY(Tabela1[[#This Row],[Data]],2)&gt;5,"TAK","NIE")</f>
        <v>TAK</v>
      </c>
      <c r="F220" s="2">
        <f>IF(Tabela1[[#This Row],[Wypadki drogowe]]=0,0,Tabela1[[#This Row],[Zabici w wypadkach]]/Tabela1[[#This Row],[Wypadki drogowe]])</f>
        <v>0.10256410256410256</v>
      </c>
      <c r="G220" s="40">
        <f>(Tabela1[[#This Row],[Zatrzymani na gorącym uczynku]]/Tabela1[[#This Row],[Interwencje]])*1000</f>
        <v>41.239515377446409</v>
      </c>
      <c r="H220">
        <v>12876</v>
      </c>
      <c r="I220">
        <v>531</v>
      </c>
      <c r="J220">
        <v>197</v>
      </c>
      <c r="K220">
        <v>312</v>
      </c>
      <c r="L220">
        <v>39</v>
      </c>
      <c r="M220">
        <v>4</v>
      </c>
      <c r="N220">
        <v>51</v>
      </c>
    </row>
    <row r="221" spans="1:14" x14ac:dyDescent="0.3">
      <c r="A221" s="1">
        <v>45780</v>
      </c>
      <c r="B221" s="1" t="str">
        <f>TEXT(Tabela1[[#This Row],[Data]],"mmmm")</f>
        <v>maj</v>
      </c>
      <c r="C221" s="1" t="str">
        <f>TEXT(Tabela1[[#This Row],[Data]],"dddd")</f>
        <v>sobota</v>
      </c>
      <c r="D221">
        <f>WEEKNUM(Tabela1[[#This Row],[Data]],2)</f>
        <v>18</v>
      </c>
      <c r="E221" t="str">
        <f>IF(WEEKDAY(Tabela1[[#This Row],[Data]],2)&gt;5,"TAK","NIE")</f>
        <v>TAK</v>
      </c>
      <c r="F221" s="2">
        <f>IF(Tabela1[[#This Row],[Wypadki drogowe]]=0,0,Tabela1[[#This Row],[Zabici w wypadkach]]/Tabela1[[#This Row],[Wypadki drogowe]])</f>
        <v>6.1538461538461542E-2</v>
      </c>
      <c r="G221" s="40">
        <f>(Tabela1[[#This Row],[Zatrzymani na gorącym uczynku]]/Tabela1[[#This Row],[Interwencje]])*1000</f>
        <v>39.589156861470457</v>
      </c>
      <c r="H221">
        <v>15383</v>
      </c>
      <c r="I221">
        <v>609</v>
      </c>
      <c r="J221">
        <v>199</v>
      </c>
      <c r="K221">
        <v>366</v>
      </c>
      <c r="L221">
        <v>65</v>
      </c>
      <c r="M221">
        <v>4</v>
      </c>
      <c r="N221">
        <v>83</v>
      </c>
    </row>
    <row r="222" spans="1:14" x14ac:dyDescent="0.3">
      <c r="A222" s="1">
        <v>45779</v>
      </c>
      <c r="B222" s="1" t="str">
        <f>TEXT(Tabela1[[#This Row],[Data]],"mmmm")</f>
        <v>maj</v>
      </c>
      <c r="C222" s="1" t="str">
        <f>TEXT(Tabela1[[#This Row],[Data]],"dddd")</f>
        <v>piątek</v>
      </c>
      <c r="D222">
        <f>WEEKNUM(Tabela1[[#This Row],[Data]],2)</f>
        <v>18</v>
      </c>
      <c r="E222" t="str">
        <f>IF(WEEKDAY(Tabela1[[#This Row],[Data]],2)&gt;5,"TAK","NIE")</f>
        <v>NIE</v>
      </c>
      <c r="F222" s="2">
        <f>IF(Tabela1[[#This Row],[Wypadki drogowe]]=0,0,Tabela1[[#This Row],[Zabici w wypadkach]]/Tabela1[[#This Row],[Wypadki drogowe]])</f>
        <v>5.5555555555555552E-2</v>
      </c>
      <c r="G222" s="40">
        <f>(Tabela1[[#This Row],[Zatrzymani na gorącym uczynku]]/Tabela1[[#This Row],[Interwencje]])*1000</f>
        <v>39.375928677563152</v>
      </c>
      <c r="H222">
        <v>17498</v>
      </c>
      <c r="I222">
        <v>689</v>
      </c>
      <c r="J222">
        <v>297</v>
      </c>
      <c r="K222">
        <v>366</v>
      </c>
      <c r="L222">
        <v>72</v>
      </c>
      <c r="M222">
        <v>4</v>
      </c>
      <c r="N222">
        <v>93</v>
      </c>
    </row>
    <row r="223" spans="1:14" x14ac:dyDescent="0.3">
      <c r="A223" s="1">
        <v>45778</v>
      </c>
      <c r="B223" s="1" t="str">
        <f>TEXT(Tabela1[[#This Row],[Data]],"mmmm")</f>
        <v>maj</v>
      </c>
      <c r="C223" s="1" t="str">
        <f>TEXT(Tabela1[[#This Row],[Data]],"dddd")</f>
        <v>czwartek</v>
      </c>
      <c r="D223">
        <f>WEEKNUM(Tabela1[[#This Row],[Data]],2)</f>
        <v>18</v>
      </c>
      <c r="E223" t="str">
        <f>IF(WEEKDAY(Tabela1[[#This Row],[Data]],2)&gt;5,"TAK","NIE")</f>
        <v>NIE</v>
      </c>
      <c r="F223" s="2">
        <f>IF(Tabela1[[#This Row],[Wypadki drogowe]]=0,0,Tabela1[[#This Row],[Zabici w wypadkach]]/Tabela1[[#This Row],[Wypadki drogowe]])</f>
        <v>8.1967213114754092E-2</v>
      </c>
      <c r="G223" s="40">
        <f>(Tabela1[[#This Row],[Zatrzymani na gorącym uczynku]]/Tabela1[[#This Row],[Interwencje]])*1000</f>
        <v>34.44158129595877</v>
      </c>
      <c r="H223">
        <v>15911</v>
      </c>
      <c r="I223">
        <v>548</v>
      </c>
      <c r="J223">
        <v>228</v>
      </c>
      <c r="K223">
        <v>334</v>
      </c>
      <c r="L223">
        <v>61</v>
      </c>
      <c r="M223">
        <v>5</v>
      </c>
      <c r="N223">
        <v>65</v>
      </c>
    </row>
    <row r="224" spans="1:14" x14ac:dyDescent="0.3">
      <c r="A224" s="1">
        <v>45777</v>
      </c>
      <c r="B224" s="1" t="str">
        <f>TEXT(Tabela1[[#This Row],[Data]],"mmmm")</f>
        <v>kwiecień</v>
      </c>
      <c r="C224" s="1" t="str">
        <f>TEXT(Tabela1[[#This Row],[Data]],"dddd")</f>
        <v>środa</v>
      </c>
      <c r="D224">
        <f>WEEKNUM(Tabela1[[#This Row],[Data]],2)</f>
        <v>18</v>
      </c>
      <c r="E224" t="str">
        <f>IF(WEEKDAY(Tabela1[[#This Row],[Data]],2)&gt;5,"TAK","NIE")</f>
        <v>NIE</v>
      </c>
      <c r="F224" s="2">
        <f>IF(Tabela1[[#This Row],[Wypadki drogowe]]=0,0,Tabela1[[#This Row],[Zabici w wypadkach]]/Tabela1[[#This Row],[Wypadki drogowe]])</f>
        <v>4.2253521126760563E-2</v>
      </c>
      <c r="G224" s="40">
        <f>(Tabela1[[#This Row],[Zatrzymani na gorącym uczynku]]/Tabela1[[#This Row],[Interwencje]])*1000</f>
        <v>29.54924874791319</v>
      </c>
      <c r="H224">
        <v>17970</v>
      </c>
      <c r="I224">
        <v>531</v>
      </c>
      <c r="J224">
        <v>366</v>
      </c>
      <c r="K224">
        <v>250</v>
      </c>
      <c r="L224">
        <v>71</v>
      </c>
      <c r="M224">
        <v>3</v>
      </c>
      <c r="N224">
        <v>91</v>
      </c>
    </row>
    <row r="225" spans="1:14" x14ac:dyDescent="0.3">
      <c r="A225" s="1">
        <v>45776</v>
      </c>
      <c r="B225" s="1" t="str">
        <f>TEXT(Tabela1[[#This Row],[Data]],"mmmm")</f>
        <v>kwiecień</v>
      </c>
      <c r="C225" s="1" t="str">
        <f>TEXT(Tabela1[[#This Row],[Data]],"dddd")</f>
        <v>wtorek</v>
      </c>
      <c r="D225">
        <f>WEEKNUM(Tabela1[[#This Row],[Data]],2)</f>
        <v>18</v>
      </c>
      <c r="E225" t="str">
        <f>IF(WEEKDAY(Tabela1[[#This Row],[Data]],2)&gt;5,"TAK","NIE")</f>
        <v>NIE</v>
      </c>
      <c r="F225" s="2">
        <f>IF(Tabela1[[#This Row],[Wypadki drogowe]]=0,0,Tabela1[[#This Row],[Zabici w wypadkach]]/Tabela1[[#This Row],[Wypadki drogowe]])</f>
        <v>2.8985507246376812E-2</v>
      </c>
      <c r="G225" s="40">
        <f>(Tabela1[[#This Row],[Zatrzymani na gorącym uczynku]]/Tabela1[[#This Row],[Interwencje]])*1000</f>
        <v>33.765889830508478</v>
      </c>
      <c r="H225">
        <v>15104</v>
      </c>
      <c r="I225">
        <v>510</v>
      </c>
      <c r="J225">
        <v>338</v>
      </c>
      <c r="K225">
        <v>222</v>
      </c>
      <c r="L225">
        <v>69</v>
      </c>
      <c r="M225">
        <v>2</v>
      </c>
      <c r="N225">
        <v>92</v>
      </c>
    </row>
    <row r="226" spans="1:14" x14ac:dyDescent="0.3">
      <c r="A226" s="1">
        <v>45775</v>
      </c>
      <c r="B226" s="1" t="str">
        <f>TEXT(Tabela1[[#This Row],[Data]],"mmmm")</f>
        <v>kwiecień</v>
      </c>
      <c r="C226" s="1" t="str">
        <f>TEXT(Tabela1[[#This Row],[Data]],"dddd")</f>
        <v>poniedziałek</v>
      </c>
      <c r="D226">
        <f>WEEKNUM(Tabela1[[#This Row],[Data]],2)</f>
        <v>18</v>
      </c>
      <c r="E226" t="str">
        <f>IF(WEEKDAY(Tabela1[[#This Row],[Data]],2)&gt;5,"TAK","NIE")</f>
        <v>NIE</v>
      </c>
      <c r="F226" s="2">
        <f>IF(Tabela1[[#This Row],[Wypadki drogowe]]=0,0,Tabela1[[#This Row],[Zabici w wypadkach]]/Tabela1[[#This Row],[Wypadki drogowe]])</f>
        <v>2.4096385542168676E-2</v>
      </c>
      <c r="G226" s="40">
        <f>(Tabela1[[#This Row],[Zatrzymani na gorącym uczynku]]/Tabela1[[#This Row],[Interwencje]])*1000</f>
        <v>36.16054524801212</v>
      </c>
      <c r="H226">
        <v>15846</v>
      </c>
      <c r="I226">
        <v>573</v>
      </c>
      <c r="J226">
        <v>387</v>
      </c>
      <c r="K226">
        <v>286</v>
      </c>
      <c r="L226">
        <v>83</v>
      </c>
      <c r="M226">
        <v>2</v>
      </c>
      <c r="N226">
        <v>96</v>
      </c>
    </row>
    <row r="227" spans="1:14" x14ac:dyDescent="0.3">
      <c r="A227" s="1">
        <v>45774</v>
      </c>
      <c r="B227" s="1" t="str">
        <f>TEXT(Tabela1[[#This Row],[Data]],"mmmm")</f>
        <v>kwiecień</v>
      </c>
      <c r="C227" s="1" t="str">
        <f>TEXT(Tabela1[[#This Row],[Data]],"dddd")</f>
        <v>niedziela</v>
      </c>
      <c r="D227">
        <f>WEEKNUM(Tabela1[[#This Row],[Data]],2)</f>
        <v>17</v>
      </c>
      <c r="E227" t="str">
        <f>IF(WEEKDAY(Tabela1[[#This Row],[Data]],2)&gt;5,"TAK","NIE")</f>
        <v>TAK</v>
      </c>
      <c r="F227" s="2">
        <f>IF(Tabela1[[#This Row],[Wypadki drogowe]]=0,0,Tabela1[[#This Row],[Zabici w wypadkach]]/Tabela1[[#This Row],[Wypadki drogowe]])</f>
        <v>0</v>
      </c>
      <c r="G227" s="40">
        <f>(Tabela1[[#This Row],[Zatrzymani na gorącym uczynku]]/Tabela1[[#This Row],[Interwencje]])*1000</f>
        <v>37.437784029430865</v>
      </c>
      <c r="H227">
        <v>13863</v>
      </c>
      <c r="I227">
        <v>519</v>
      </c>
      <c r="J227">
        <v>206</v>
      </c>
      <c r="K227">
        <v>253</v>
      </c>
      <c r="L227">
        <v>55</v>
      </c>
      <c r="M227">
        <v>0</v>
      </c>
      <c r="N227">
        <v>64</v>
      </c>
    </row>
    <row r="228" spans="1:14" x14ac:dyDescent="0.3">
      <c r="A228" s="1">
        <v>45773</v>
      </c>
      <c r="B228" s="1" t="str">
        <f>TEXT(Tabela1[[#This Row],[Data]],"mmmm")</f>
        <v>kwiecień</v>
      </c>
      <c r="C228" s="1" t="str">
        <f>TEXT(Tabela1[[#This Row],[Data]],"dddd")</f>
        <v>sobota</v>
      </c>
      <c r="D228">
        <f>WEEKNUM(Tabela1[[#This Row],[Data]],2)</f>
        <v>17</v>
      </c>
      <c r="E228" t="str">
        <f>IF(WEEKDAY(Tabela1[[#This Row],[Data]],2)&gt;5,"TAK","NIE")</f>
        <v>TAK</v>
      </c>
      <c r="F228" s="2">
        <f>IF(Tabela1[[#This Row],[Wypadki drogowe]]=0,0,Tabela1[[#This Row],[Zabici w wypadkach]]/Tabela1[[#This Row],[Wypadki drogowe]])</f>
        <v>1.7543859649122806E-2</v>
      </c>
      <c r="G228" s="40">
        <f>(Tabela1[[#This Row],[Zatrzymani na gorącym uczynku]]/Tabela1[[#This Row],[Interwencje]])*1000</f>
        <v>32.676477924669499</v>
      </c>
      <c r="H228">
        <v>16036</v>
      </c>
      <c r="I228">
        <v>524</v>
      </c>
      <c r="J228">
        <v>221</v>
      </c>
      <c r="K228">
        <v>277</v>
      </c>
      <c r="L228">
        <v>57</v>
      </c>
      <c r="M228">
        <v>1</v>
      </c>
      <c r="N228">
        <v>78</v>
      </c>
    </row>
    <row r="229" spans="1:14" x14ac:dyDescent="0.3">
      <c r="A229" s="1">
        <v>45772</v>
      </c>
      <c r="B229" s="1" t="str">
        <f>TEXT(Tabela1[[#This Row],[Data]],"mmmm")</f>
        <v>kwiecień</v>
      </c>
      <c r="C229" s="1" t="str">
        <f>TEXT(Tabela1[[#This Row],[Data]],"dddd")</f>
        <v>piątek</v>
      </c>
      <c r="D229">
        <f>WEEKNUM(Tabela1[[#This Row],[Data]],2)</f>
        <v>17</v>
      </c>
      <c r="E229" t="str">
        <f>IF(WEEKDAY(Tabela1[[#This Row],[Data]],2)&gt;5,"TAK","NIE")</f>
        <v>NIE</v>
      </c>
      <c r="F229" s="2">
        <f>IF(Tabela1[[#This Row],[Wypadki drogowe]]=0,0,Tabela1[[#This Row],[Zabici w wypadkach]]/Tabela1[[#This Row],[Wypadki drogowe]])</f>
        <v>5.9701492537313432E-2</v>
      </c>
      <c r="G229" s="40">
        <f>(Tabela1[[#This Row],[Zatrzymani na gorącym uczynku]]/Tabela1[[#This Row],[Interwencje]])*1000</f>
        <v>31.030550387131626</v>
      </c>
      <c r="H229">
        <v>16661</v>
      </c>
      <c r="I229">
        <v>517</v>
      </c>
      <c r="J229">
        <v>504</v>
      </c>
      <c r="K229">
        <v>213</v>
      </c>
      <c r="L229">
        <v>67</v>
      </c>
      <c r="M229">
        <v>4</v>
      </c>
      <c r="N229">
        <v>78</v>
      </c>
    </row>
    <row r="230" spans="1:14" x14ac:dyDescent="0.3">
      <c r="A230" s="1">
        <v>45771</v>
      </c>
      <c r="B230" s="1" t="str">
        <f>TEXT(Tabela1[[#This Row],[Data]],"mmmm")</f>
        <v>kwiecień</v>
      </c>
      <c r="C230" s="1" t="str">
        <f>TEXT(Tabela1[[#This Row],[Data]],"dddd")</f>
        <v>czwartek</v>
      </c>
      <c r="D230">
        <f>WEEKNUM(Tabela1[[#This Row],[Data]],2)</f>
        <v>17</v>
      </c>
      <c r="E230" t="str">
        <f>IF(WEEKDAY(Tabela1[[#This Row],[Data]],2)&gt;5,"TAK","NIE")</f>
        <v>NIE</v>
      </c>
      <c r="F230" s="2">
        <f>IF(Tabela1[[#This Row],[Wypadki drogowe]]=0,0,Tabela1[[#This Row],[Zabici w wypadkach]]/Tabela1[[#This Row],[Wypadki drogowe]])</f>
        <v>1.6666666666666666E-2</v>
      </c>
      <c r="G230" s="40">
        <f>(Tabela1[[#This Row],[Zatrzymani na gorącym uczynku]]/Tabela1[[#This Row],[Interwencje]])*1000</f>
        <v>34.655609876848814</v>
      </c>
      <c r="H230">
        <v>16159</v>
      </c>
      <c r="I230">
        <v>560</v>
      </c>
      <c r="J230">
        <v>488</v>
      </c>
      <c r="K230">
        <v>201</v>
      </c>
      <c r="L230">
        <v>60</v>
      </c>
      <c r="M230">
        <v>1</v>
      </c>
      <c r="N230">
        <v>71</v>
      </c>
    </row>
    <row r="231" spans="1:14" x14ac:dyDescent="0.3">
      <c r="A231" s="1">
        <v>45770</v>
      </c>
      <c r="B231" s="1" t="str">
        <f>TEXT(Tabela1[[#This Row],[Data]],"mmmm")</f>
        <v>kwiecień</v>
      </c>
      <c r="C231" s="1" t="str">
        <f>TEXT(Tabela1[[#This Row],[Data]],"dddd")</f>
        <v>środa</v>
      </c>
      <c r="D231">
        <f>WEEKNUM(Tabela1[[#This Row],[Data]],2)</f>
        <v>17</v>
      </c>
      <c r="E231" t="str">
        <f>IF(WEEKDAY(Tabela1[[#This Row],[Data]],2)&gt;5,"TAK","NIE")</f>
        <v>NIE</v>
      </c>
      <c r="F231" s="2">
        <f>IF(Tabela1[[#This Row],[Wypadki drogowe]]=0,0,Tabela1[[#This Row],[Zabici w wypadkach]]/Tabela1[[#This Row],[Wypadki drogowe]])</f>
        <v>3.0769230769230771E-2</v>
      </c>
      <c r="G231" s="40">
        <f>(Tabela1[[#This Row],[Zatrzymani na gorącym uczynku]]/Tabela1[[#This Row],[Interwencje]])*1000</f>
        <v>36.10569897710667</v>
      </c>
      <c r="H231">
        <v>16424</v>
      </c>
      <c r="I231">
        <v>593</v>
      </c>
      <c r="J231">
        <v>437</v>
      </c>
      <c r="K231">
        <v>261</v>
      </c>
      <c r="L231">
        <v>65</v>
      </c>
      <c r="M231">
        <v>2</v>
      </c>
      <c r="N231">
        <v>80</v>
      </c>
    </row>
    <row r="232" spans="1:14" x14ac:dyDescent="0.3">
      <c r="A232" s="1">
        <v>45769</v>
      </c>
      <c r="B232" s="1" t="str">
        <f>TEXT(Tabela1[[#This Row],[Data]],"mmmm")</f>
        <v>kwiecień</v>
      </c>
      <c r="C232" s="1" t="str">
        <f>TEXT(Tabela1[[#This Row],[Data]],"dddd")</f>
        <v>wtorek</v>
      </c>
      <c r="D232">
        <f>WEEKNUM(Tabela1[[#This Row],[Data]],2)</f>
        <v>17</v>
      </c>
      <c r="E232" t="str">
        <f>IF(WEEKDAY(Tabela1[[#This Row],[Data]],2)&gt;5,"TAK","NIE")</f>
        <v>NIE</v>
      </c>
      <c r="F232" s="2">
        <f>IF(Tabela1[[#This Row],[Wypadki drogowe]]=0,0,Tabela1[[#This Row],[Zabici w wypadkach]]/Tabela1[[#This Row],[Wypadki drogowe]])</f>
        <v>7.6923076923076927E-2</v>
      </c>
      <c r="G232" s="40">
        <f>(Tabela1[[#This Row],[Zatrzymani na gorącym uczynku]]/Tabela1[[#This Row],[Interwencje]])*1000</f>
        <v>46.020192533458555</v>
      </c>
      <c r="H232">
        <v>17036</v>
      </c>
      <c r="I232">
        <v>784</v>
      </c>
      <c r="J232">
        <v>422</v>
      </c>
      <c r="K232">
        <v>637</v>
      </c>
      <c r="L232">
        <v>52</v>
      </c>
      <c r="M232">
        <v>4</v>
      </c>
      <c r="N232">
        <v>55</v>
      </c>
    </row>
    <row r="233" spans="1:14" x14ac:dyDescent="0.3">
      <c r="A233" s="1">
        <v>45768</v>
      </c>
      <c r="B233" s="1" t="str">
        <f>TEXT(Tabela1[[#This Row],[Data]],"mmmm")</f>
        <v>kwiecień</v>
      </c>
      <c r="C233" s="1" t="str">
        <f>TEXT(Tabela1[[#This Row],[Data]],"dddd")</f>
        <v>poniedziałek</v>
      </c>
      <c r="D233">
        <f>WEEKNUM(Tabela1[[#This Row],[Data]],2)</f>
        <v>17</v>
      </c>
      <c r="E233" t="str">
        <f>IF(WEEKDAY(Tabela1[[#This Row],[Data]],2)&gt;5,"TAK","NIE")</f>
        <v>NIE</v>
      </c>
      <c r="F233" s="2">
        <f>IF(Tabela1[[#This Row],[Wypadki drogowe]]=0,0,Tabela1[[#This Row],[Zabici w wypadkach]]/Tabela1[[#This Row],[Wypadki drogowe]])</f>
        <v>7.0422535211267609E-2</v>
      </c>
      <c r="G233" s="40">
        <f>(Tabela1[[#This Row],[Zatrzymani na gorącym uczynku]]/Tabela1[[#This Row],[Interwencje]])*1000</f>
        <v>37.179487179487182</v>
      </c>
      <c r="H233">
        <v>14820</v>
      </c>
      <c r="I233">
        <v>551</v>
      </c>
      <c r="J233">
        <v>220</v>
      </c>
      <c r="K233">
        <v>356</v>
      </c>
      <c r="L233">
        <v>71</v>
      </c>
      <c r="M233">
        <v>5</v>
      </c>
      <c r="N233">
        <v>85</v>
      </c>
    </row>
    <row r="234" spans="1:14" x14ac:dyDescent="0.3">
      <c r="A234" s="1">
        <v>45767</v>
      </c>
      <c r="B234" s="1" t="str">
        <f>TEXT(Tabela1[[#This Row],[Data]],"mmmm")</f>
        <v>kwiecień</v>
      </c>
      <c r="C234" s="1" t="str">
        <f>TEXT(Tabela1[[#This Row],[Data]],"dddd")</f>
        <v>niedziela</v>
      </c>
      <c r="D234">
        <f>WEEKNUM(Tabela1[[#This Row],[Data]],2)</f>
        <v>16</v>
      </c>
      <c r="E234" t="str">
        <f>IF(WEEKDAY(Tabela1[[#This Row],[Data]],2)&gt;5,"TAK","NIE")</f>
        <v>TAK</v>
      </c>
      <c r="F234" s="2">
        <f>IF(Tabela1[[#This Row],[Wypadki drogowe]]=0,0,Tabela1[[#This Row],[Zabici w wypadkach]]/Tabela1[[#This Row],[Wypadki drogowe]])</f>
        <v>0.08</v>
      </c>
      <c r="G234" s="40">
        <f>(Tabela1[[#This Row],[Zatrzymani na gorącym uczynku]]/Tabela1[[#This Row],[Interwencje]])*1000</f>
        <v>33.249301628398179</v>
      </c>
      <c r="H234">
        <v>14677</v>
      </c>
      <c r="I234">
        <v>488</v>
      </c>
      <c r="J234">
        <v>196</v>
      </c>
      <c r="K234">
        <v>291</v>
      </c>
      <c r="L234">
        <v>50</v>
      </c>
      <c r="M234">
        <v>4</v>
      </c>
      <c r="N234">
        <v>62</v>
      </c>
    </row>
    <row r="235" spans="1:14" x14ac:dyDescent="0.3">
      <c r="A235" s="1">
        <v>45766</v>
      </c>
      <c r="B235" s="1" t="str">
        <f>TEXT(Tabela1[[#This Row],[Data]],"mmmm")</f>
        <v>kwiecień</v>
      </c>
      <c r="C235" s="1" t="str">
        <f>TEXT(Tabela1[[#This Row],[Data]],"dddd")</f>
        <v>sobota</v>
      </c>
      <c r="D235">
        <f>WEEKNUM(Tabela1[[#This Row],[Data]],2)</f>
        <v>16</v>
      </c>
      <c r="E235" t="str">
        <f>IF(WEEKDAY(Tabela1[[#This Row],[Data]],2)&gt;5,"TAK","NIE")</f>
        <v>TAK</v>
      </c>
      <c r="F235" s="2">
        <f>IF(Tabela1[[#This Row],[Wypadki drogowe]]=0,0,Tabela1[[#This Row],[Zabici w wypadkach]]/Tabela1[[#This Row],[Wypadki drogowe]])</f>
        <v>7.8431372549019607E-2</v>
      </c>
      <c r="G235" s="40">
        <f>(Tabela1[[#This Row],[Zatrzymani na gorącym uczynku]]/Tabela1[[#This Row],[Interwencje]])*1000</f>
        <v>36.567078094359211</v>
      </c>
      <c r="H235">
        <v>17338</v>
      </c>
      <c r="I235">
        <v>634</v>
      </c>
      <c r="J235">
        <v>286</v>
      </c>
      <c r="K235">
        <v>371</v>
      </c>
      <c r="L235">
        <v>51</v>
      </c>
      <c r="M235">
        <v>4</v>
      </c>
      <c r="N235">
        <v>60</v>
      </c>
    </row>
    <row r="236" spans="1:14" x14ac:dyDescent="0.3">
      <c r="A236" s="1">
        <v>45765</v>
      </c>
      <c r="B236" s="1" t="str">
        <f>TEXT(Tabela1[[#This Row],[Data]],"mmmm")</f>
        <v>kwiecień</v>
      </c>
      <c r="C236" s="1" t="str">
        <f>TEXT(Tabela1[[#This Row],[Data]],"dddd")</f>
        <v>piątek</v>
      </c>
      <c r="D236">
        <f>WEEKNUM(Tabela1[[#This Row],[Data]],2)</f>
        <v>16</v>
      </c>
      <c r="E236" t="str">
        <f>IF(WEEKDAY(Tabela1[[#This Row],[Data]],2)&gt;5,"TAK","NIE")</f>
        <v>NIE</v>
      </c>
      <c r="F236" s="2">
        <f>IF(Tabela1[[#This Row],[Wypadki drogowe]]=0,0,Tabela1[[#This Row],[Zabici w wypadkach]]/Tabela1[[#This Row],[Wypadki drogowe]])</f>
        <v>4.3478260869565216E-2</v>
      </c>
      <c r="G236" s="40">
        <f>(Tabela1[[#This Row],[Zatrzymani na gorącym uczynku]]/Tabela1[[#This Row],[Interwencje]])*1000</f>
        <v>32.408325074331024</v>
      </c>
      <c r="H236">
        <v>20180</v>
      </c>
      <c r="I236">
        <v>654</v>
      </c>
      <c r="J236">
        <v>548</v>
      </c>
      <c r="K236">
        <v>339</v>
      </c>
      <c r="L236">
        <v>69</v>
      </c>
      <c r="M236">
        <v>3</v>
      </c>
      <c r="N236">
        <v>72</v>
      </c>
    </row>
    <row r="237" spans="1:14" x14ac:dyDescent="0.3">
      <c r="A237" s="1">
        <v>45764</v>
      </c>
      <c r="B237" s="1" t="str">
        <f>TEXT(Tabela1[[#This Row],[Data]],"mmmm")</f>
        <v>kwiecień</v>
      </c>
      <c r="C237" s="1" t="str">
        <f>TEXT(Tabela1[[#This Row],[Data]],"dddd")</f>
        <v>czwartek</v>
      </c>
      <c r="D237">
        <f>WEEKNUM(Tabela1[[#This Row],[Data]],2)</f>
        <v>16</v>
      </c>
      <c r="E237" t="str">
        <f>IF(WEEKDAY(Tabela1[[#This Row],[Data]],2)&gt;5,"TAK","NIE")</f>
        <v>NIE</v>
      </c>
      <c r="F237" s="2">
        <f>IF(Tabela1[[#This Row],[Wypadki drogowe]]=0,0,Tabela1[[#This Row],[Zabici w wypadkach]]/Tabela1[[#This Row],[Wypadki drogowe]])</f>
        <v>1.1904761904761904E-2</v>
      </c>
      <c r="G237" s="40">
        <f>(Tabela1[[#This Row],[Zatrzymani na gorącym uczynku]]/Tabela1[[#This Row],[Interwencje]])*1000</f>
        <v>34.186241610738257</v>
      </c>
      <c r="H237">
        <v>19072</v>
      </c>
      <c r="I237">
        <v>652</v>
      </c>
      <c r="J237">
        <v>478</v>
      </c>
      <c r="K237">
        <v>302</v>
      </c>
      <c r="L237">
        <v>84</v>
      </c>
      <c r="M237">
        <v>1</v>
      </c>
      <c r="N237">
        <v>98</v>
      </c>
    </row>
    <row r="238" spans="1:14" x14ac:dyDescent="0.3">
      <c r="A238" s="1">
        <v>45763</v>
      </c>
      <c r="B238" s="1" t="str">
        <f>TEXT(Tabela1[[#This Row],[Data]],"mmmm")</f>
        <v>kwiecień</v>
      </c>
      <c r="C238" s="1" t="str">
        <f>TEXT(Tabela1[[#This Row],[Data]],"dddd")</f>
        <v>środa</v>
      </c>
      <c r="D238">
        <f>WEEKNUM(Tabela1[[#This Row],[Data]],2)</f>
        <v>16</v>
      </c>
      <c r="E238" t="str">
        <f>IF(WEEKDAY(Tabela1[[#This Row],[Data]],2)&gt;5,"TAK","NIE")</f>
        <v>NIE</v>
      </c>
      <c r="F238" s="2">
        <f>IF(Tabela1[[#This Row],[Wypadki drogowe]]=0,0,Tabela1[[#This Row],[Zabici w wypadkach]]/Tabela1[[#This Row],[Wypadki drogowe]])</f>
        <v>8.8235294117647065E-2</v>
      </c>
      <c r="G238" s="40">
        <f>(Tabela1[[#This Row],[Zatrzymani na gorącym uczynku]]/Tabela1[[#This Row],[Interwencje]])*1000</f>
        <v>31.945895419805353</v>
      </c>
      <c r="H238">
        <v>18187</v>
      </c>
      <c r="I238">
        <v>581</v>
      </c>
      <c r="J238">
        <v>502</v>
      </c>
      <c r="K238">
        <v>252</v>
      </c>
      <c r="L238">
        <v>102</v>
      </c>
      <c r="M238">
        <v>9</v>
      </c>
      <c r="N238">
        <v>107</v>
      </c>
    </row>
    <row r="239" spans="1:14" x14ac:dyDescent="0.3">
      <c r="A239" s="1">
        <v>45762</v>
      </c>
      <c r="B239" s="1" t="str">
        <f>TEXT(Tabela1[[#This Row],[Data]],"mmmm")</f>
        <v>kwiecień</v>
      </c>
      <c r="C239" s="1" t="str">
        <f>TEXT(Tabela1[[#This Row],[Data]],"dddd")</f>
        <v>wtorek</v>
      </c>
      <c r="D239">
        <f>WEEKNUM(Tabela1[[#This Row],[Data]],2)</f>
        <v>16</v>
      </c>
      <c r="E239" t="str">
        <f>IF(WEEKDAY(Tabela1[[#This Row],[Data]],2)&gt;5,"TAK","NIE")</f>
        <v>NIE</v>
      </c>
      <c r="F239" s="2">
        <f>IF(Tabela1[[#This Row],[Wypadki drogowe]]=0,0,Tabela1[[#This Row],[Zabici w wypadkach]]/Tabela1[[#This Row],[Wypadki drogowe]])</f>
        <v>3.2786885245901641E-2</v>
      </c>
      <c r="G239" s="40">
        <f>(Tabela1[[#This Row],[Zatrzymani na gorącym uczynku]]/Tabela1[[#This Row],[Interwencje]])*1000</f>
        <v>36.078717201166185</v>
      </c>
      <c r="H239">
        <v>16464</v>
      </c>
      <c r="I239">
        <v>594</v>
      </c>
      <c r="J239">
        <v>423</v>
      </c>
      <c r="K239">
        <v>252</v>
      </c>
      <c r="L239">
        <v>61</v>
      </c>
      <c r="M239">
        <v>2</v>
      </c>
      <c r="N239">
        <v>71</v>
      </c>
    </row>
    <row r="240" spans="1:14" x14ac:dyDescent="0.3">
      <c r="A240" s="1">
        <v>45761</v>
      </c>
      <c r="B240" s="1" t="str">
        <f>TEXT(Tabela1[[#This Row],[Data]],"mmmm")</f>
        <v>kwiecień</v>
      </c>
      <c r="C240" s="1" t="str">
        <f>TEXT(Tabela1[[#This Row],[Data]],"dddd")</f>
        <v>poniedziałek</v>
      </c>
      <c r="D240">
        <f>WEEKNUM(Tabela1[[#This Row],[Data]],2)</f>
        <v>16</v>
      </c>
      <c r="E240" t="str">
        <f>IF(WEEKDAY(Tabela1[[#This Row],[Data]],2)&gt;5,"TAK","NIE")</f>
        <v>NIE</v>
      </c>
      <c r="F240" s="2">
        <f>IF(Tabela1[[#This Row],[Wypadki drogowe]]=0,0,Tabela1[[#This Row],[Zabici w wypadkach]]/Tabela1[[#This Row],[Wypadki drogowe]])</f>
        <v>4.2253521126760563E-2</v>
      </c>
      <c r="G240" s="40">
        <f>(Tabela1[[#This Row],[Zatrzymani na gorącym uczynku]]/Tabela1[[#This Row],[Interwencje]])*1000</f>
        <v>38.59146865158889</v>
      </c>
      <c r="H240">
        <v>17465</v>
      </c>
      <c r="I240">
        <v>674</v>
      </c>
      <c r="J240">
        <v>403</v>
      </c>
      <c r="K240">
        <v>419</v>
      </c>
      <c r="L240">
        <v>71</v>
      </c>
      <c r="M240">
        <v>3</v>
      </c>
      <c r="N240">
        <v>84</v>
      </c>
    </row>
    <row r="241" spans="1:14" x14ac:dyDescent="0.3">
      <c r="A241" s="1">
        <v>45760</v>
      </c>
      <c r="B241" s="1" t="str">
        <f>TEXT(Tabela1[[#This Row],[Data]],"mmmm")</f>
        <v>kwiecień</v>
      </c>
      <c r="C241" s="1" t="str">
        <f>TEXT(Tabela1[[#This Row],[Data]],"dddd")</f>
        <v>niedziela</v>
      </c>
      <c r="D241">
        <f>WEEKNUM(Tabela1[[#This Row],[Data]],2)</f>
        <v>15</v>
      </c>
      <c r="E241" t="str">
        <f>IF(WEEKDAY(Tabela1[[#This Row],[Data]],2)&gt;5,"TAK","NIE")</f>
        <v>TAK</v>
      </c>
      <c r="F241" s="2">
        <f>IF(Tabela1[[#This Row],[Wypadki drogowe]]=0,0,Tabela1[[#This Row],[Zabici w wypadkach]]/Tabela1[[#This Row],[Wypadki drogowe]])</f>
        <v>2.8985507246376812E-2</v>
      </c>
      <c r="G241" s="40">
        <f>(Tabela1[[#This Row],[Zatrzymani na gorącym uczynku]]/Tabela1[[#This Row],[Interwencje]])*1000</f>
        <v>38.939157566302654</v>
      </c>
      <c r="H241">
        <v>16025</v>
      </c>
      <c r="I241">
        <v>624</v>
      </c>
      <c r="J241">
        <v>211</v>
      </c>
      <c r="K241">
        <v>306</v>
      </c>
      <c r="L241">
        <v>69</v>
      </c>
      <c r="M241">
        <v>2</v>
      </c>
      <c r="N241">
        <v>77</v>
      </c>
    </row>
    <row r="242" spans="1:14" x14ac:dyDescent="0.3">
      <c r="A242" s="1">
        <v>45759</v>
      </c>
      <c r="B242" s="1" t="str">
        <f>TEXT(Tabela1[[#This Row],[Data]],"mmmm")</f>
        <v>kwiecień</v>
      </c>
      <c r="C242" s="1" t="str">
        <f>TEXT(Tabela1[[#This Row],[Data]],"dddd")</f>
        <v>sobota</v>
      </c>
      <c r="D242">
        <f>WEEKNUM(Tabela1[[#This Row],[Data]],2)</f>
        <v>15</v>
      </c>
      <c r="E242" t="str">
        <f>IF(WEEKDAY(Tabela1[[#This Row],[Data]],2)&gt;5,"TAK","NIE")</f>
        <v>TAK</v>
      </c>
      <c r="F242" s="2">
        <f>IF(Tabela1[[#This Row],[Wypadki drogowe]]=0,0,Tabela1[[#This Row],[Zabici w wypadkach]]/Tabela1[[#This Row],[Wypadki drogowe]])</f>
        <v>1.7857142857142856E-2</v>
      </c>
      <c r="G242" s="40">
        <f>(Tabela1[[#This Row],[Zatrzymani na gorącym uczynku]]/Tabela1[[#This Row],[Interwencje]])*1000</f>
        <v>35.615010423905488</v>
      </c>
      <c r="H242">
        <v>17268</v>
      </c>
      <c r="I242">
        <v>615</v>
      </c>
      <c r="J242">
        <v>226</v>
      </c>
      <c r="K242">
        <v>299</v>
      </c>
      <c r="L242">
        <v>56</v>
      </c>
      <c r="M242">
        <v>1</v>
      </c>
      <c r="N242">
        <v>72</v>
      </c>
    </row>
    <row r="243" spans="1:14" x14ac:dyDescent="0.3">
      <c r="A243" s="1">
        <v>45758</v>
      </c>
      <c r="B243" s="1" t="str">
        <f>TEXT(Tabela1[[#This Row],[Data]],"mmmm")</f>
        <v>kwiecień</v>
      </c>
      <c r="C243" s="1" t="str">
        <f>TEXT(Tabela1[[#This Row],[Data]],"dddd")</f>
        <v>piątek</v>
      </c>
      <c r="D243">
        <f>WEEKNUM(Tabela1[[#This Row],[Data]],2)</f>
        <v>15</v>
      </c>
      <c r="E243" t="str">
        <f>IF(WEEKDAY(Tabela1[[#This Row],[Data]],2)&gt;5,"TAK","NIE")</f>
        <v>NIE</v>
      </c>
      <c r="F243" s="2">
        <f>IF(Tabela1[[#This Row],[Wypadki drogowe]]=0,0,Tabela1[[#This Row],[Zabici w wypadkach]]/Tabela1[[#This Row],[Wypadki drogowe]])</f>
        <v>5.6603773584905662E-2</v>
      </c>
      <c r="G243" s="40">
        <f>(Tabela1[[#This Row],[Zatrzymani na gorącym uczynku]]/Tabela1[[#This Row],[Interwencje]])*1000</f>
        <v>36.984961486734313</v>
      </c>
      <c r="H243">
        <v>16358</v>
      </c>
      <c r="I243">
        <v>605</v>
      </c>
      <c r="J243">
        <v>436</v>
      </c>
      <c r="K243">
        <v>237</v>
      </c>
      <c r="L243">
        <v>53</v>
      </c>
      <c r="M243">
        <v>3</v>
      </c>
      <c r="N243">
        <v>60</v>
      </c>
    </row>
    <row r="244" spans="1:14" x14ac:dyDescent="0.3">
      <c r="A244" s="1">
        <v>45757</v>
      </c>
      <c r="B244" s="1" t="str">
        <f>TEXT(Tabela1[[#This Row],[Data]],"mmmm")</f>
        <v>kwiecień</v>
      </c>
      <c r="C244" s="1" t="str">
        <f>TEXT(Tabela1[[#This Row],[Data]],"dddd")</f>
        <v>czwartek</v>
      </c>
      <c r="D244">
        <f>WEEKNUM(Tabela1[[#This Row],[Data]],2)</f>
        <v>15</v>
      </c>
      <c r="E244" t="str">
        <f>IF(WEEKDAY(Tabela1[[#This Row],[Data]],2)&gt;5,"TAK","NIE")</f>
        <v>NIE</v>
      </c>
      <c r="F244" s="2">
        <f>IF(Tabela1[[#This Row],[Wypadki drogowe]]=0,0,Tabela1[[#This Row],[Zabici w wypadkach]]/Tabela1[[#This Row],[Wypadki drogowe]])</f>
        <v>0.1</v>
      </c>
      <c r="G244" s="40">
        <f>(Tabela1[[#This Row],[Zatrzymani na gorącym uczynku]]/Tabela1[[#This Row],[Interwencje]])*1000</f>
        <v>37.221970040853385</v>
      </c>
      <c r="H244">
        <v>15421</v>
      </c>
      <c r="I244">
        <v>574</v>
      </c>
      <c r="J244">
        <v>411</v>
      </c>
      <c r="K244">
        <v>200</v>
      </c>
      <c r="L244">
        <v>40</v>
      </c>
      <c r="M244">
        <v>4</v>
      </c>
      <c r="N244">
        <v>40</v>
      </c>
    </row>
    <row r="245" spans="1:14" x14ac:dyDescent="0.3">
      <c r="A245" s="1">
        <v>45756</v>
      </c>
      <c r="B245" s="1" t="str">
        <f>TEXT(Tabela1[[#This Row],[Data]],"mmmm")</f>
        <v>kwiecień</v>
      </c>
      <c r="C245" s="1" t="str">
        <f>TEXT(Tabela1[[#This Row],[Data]],"dddd")</f>
        <v>środa</v>
      </c>
      <c r="D245">
        <f>WEEKNUM(Tabela1[[#This Row],[Data]],2)</f>
        <v>15</v>
      </c>
      <c r="E245" t="str">
        <f>IF(WEEKDAY(Tabela1[[#This Row],[Data]],2)&gt;5,"TAK","NIE")</f>
        <v>NIE</v>
      </c>
      <c r="F245" s="2">
        <f>IF(Tabela1[[#This Row],[Wypadki drogowe]]=0,0,Tabela1[[#This Row],[Zabici w wypadkach]]/Tabela1[[#This Row],[Wypadki drogowe]])</f>
        <v>8.1632653061224483E-2</v>
      </c>
      <c r="G245" s="40">
        <f>(Tabela1[[#This Row],[Zatrzymani na gorącym uczynku]]/Tabela1[[#This Row],[Interwencje]])*1000</f>
        <v>33.696605286233243</v>
      </c>
      <c r="H245">
        <v>15966</v>
      </c>
      <c r="I245">
        <v>538</v>
      </c>
      <c r="J245">
        <v>465</v>
      </c>
      <c r="K245">
        <v>187</v>
      </c>
      <c r="L245">
        <v>49</v>
      </c>
      <c r="M245">
        <v>4</v>
      </c>
      <c r="N245">
        <v>55</v>
      </c>
    </row>
    <row r="246" spans="1:14" x14ac:dyDescent="0.3">
      <c r="A246" s="1">
        <v>45755</v>
      </c>
      <c r="B246" s="1" t="str">
        <f>TEXT(Tabela1[[#This Row],[Data]],"mmmm")</f>
        <v>kwiecień</v>
      </c>
      <c r="C246" s="1" t="str">
        <f>TEXT(Tabela1[[#This Row],[Data]],"dddd")</f>
        <v>wtorek</v>
      </c>
      <c r="D246">
        <f>WEEKNUM(Tabela1[[#This Row],[Data]],2)</f>
        <v>15</v>
      </c>
      <c r="E246" t="str">
        <f>IF(WEEKDAY(Tabela1[[#This Row],[Data]],2)&gt;5,"TAK","NIE")</f>
        <v>NIE</v>
      </c>
      <c r="F246" s="2">
        <f>IF(Tabela1[[#This Row],[Wypadki drogowe]]=0,0,Tabela1[[#This Row],[Zabici w wypadkach]]/Tabela1[[#This Row],[Wypadki drogowe]])</f>
        <v>0.1</v>
      </c>
      <c r="G246" s="40">
        <f>(Tabela1[[#This Row],[Zatrzymani na gorącym uczynku]]/Tabela1[[#This Row],[Interwencje]])*1000</f>
        <v>35.92336349121873</v>
      </c>
      <c r="H246">
        <v>15032</v>
      </c>
      <c r="I246">
        <v>540</v>
      </c>
      <c r="J246">
        <v>483</v>
      </c>
      <c r="K246">
        <v>192</v>
      </c>
      <c r="L246">
        <v>40</v>
      </c>
      <c r="M246">
        <v>4</v>
      </c>
      <c r="N246">
        <v>43</v>
      </c>
    </row>
    <row r="247" spans="1:14" x14ac:dyDescent="0.3">
      <c r="A247" s="1">
        <v>45754</v>
      </c>
      <c r="B247" s="1" t="str">
        <f>TEXT(Tabela1[[#This Row],[Data]],"mmmm")</f>
        <v>kwiecień</v>
      </c>
      <c r="C247" s="1" t="str">
        <f>TEXT(Tabela1[[#This Row],[Data]],"dddd")</f>
        <v>poniedziałek</v>
      </c>
      <c r="D247">
        <f>WEEKNUM(Tabela1[[#This Row],[Data]],2)</f>
        <v>15</v>
      </c>
      <c r="E247" t="str">
        <f>IF(WEEKDAY(Tabela1[[#This Row],[Data]],2)&gt;5,"TAK","NIE")</f>
        <v>NIE</v>
      </c>
      <c r="F247" s="2">
        <f>IF(Tabela1[[#This Row],[Wypadki drogowe]]=0,0,Tabela1[[#This Row],[Zabici w wypadkach]]/Tabela1[[#This Row],[Wypadki drogowe]])</f>
        <v>0.13953488372093023</v>
      </c>
      <c r="G247" s="40">
        <f>(Tabela1[[#This Row],[Zatrzymani na gorącym uczynku]]/Tabela1[[#This Row],[Interwencje]])*1000</f>
        <v>38.95576897064791</v>
      </c>
      <c r="H247">
        <v>14786</v>
      </c>
      <c r="I247">
        <v>576</v>
      </c>
      <c r="J247">
        <v>393</v>
      </c>
      <c r="K247">
        <v>287</v>
      </c>
      <c r="L247">
        <v>43</v>
      </c>
      <c r="M247">
        <v>6</v>
      </c>
      <c r="N247">
        <v>42</v>
      </c>
    </row>
    <row r="248" spans="1:14" x14ac:dyDescent="0.3">
      <c r="A248" s="1">
        <v>45753</v>
      </c>
      <c r="B248" s="1" t="str">
        <f>TEXT(Tabela1[[#This Row],[Data]],"mmmm")</f>
        <v>kwiecień</v>
      </c>
      <c r="C248" s="1" t="str">
        <f>TEXT(Tabela1[[#This Row],[Data]],"dddd")</f>
        <v>niedziela</v>
      </c>
      <c r="D248">
        <f>WEEKNUM(Tabela1[[#This Row],[Data]],2)</f>
        <v>14</v>
      </c>
      <c r="E248" t="str">
        <f>IF(WEEKDAY(Tabela1[[#This Row],[Data]],2)&gt;5,"TAK","NIE")</f>
        <v>TAK</v>
      </c>
      <c r="F248" s="2">
        <f>IF(Tabela1[[#This Row],[Wypadki drogowe]]=0,0,Tabela1[[#This Row],[Zabici w wypadkach]]/Tabela1[[#This Row],[Wypadki drogowe]])</f>
        <v>8.6956521739130432E-2</v>
      </c>
      <c r="G248" s="40">
        <f>(Tabela1[[#This Row],[Zatrzymani na gorącym uczynku]]/Tabela1[[#This Row],[Interwencje]])*1000</f>
        <v>41.310909874946091</v>
      </c>
      <c r="H248">
        <v>11595</v>
      </c>
      <c r="I248">
        <v>479</v>
      </c>
      <c r="J248">
        <v>198</v>
      </c>
      <c r="K248">
        <v>245</v>
      </c>
      <c r="L248">
        <v>23</v>
      </c>
      <c r="M248">
        <v>2</v>
      </c>
      <c r="N248">
        <v>28</v>
      </c>
    </row>
    <row r="249" spans="1:14" x14ac:dyDescent="0.3">
      <c r="A249" s="1">
        <v>45752</v>
      </c>
      <c r="B249" s="1" t="str">
        <f>TEXT(Tabela1[[#This Row],[Data]],"mmmm")</f>
        <v>kwiecień</v>
      </c>
      <c r="C249" s="1" t="str">
        <f>TEXT(Tabela1[[#This Row],[Data]],"dddd")</f>
        <v>sobota</v>
      </c>
      <c r="D249">
        <f>WEEKNUM(Tabela1[[#This Row],[Data]],2)</f>
        <v>14</v>
      </c>
      <c r="E249" t="str">
        <f>IF(WEEKDAY(Tabela1[[#This Row],[Data]],2)&gt;5,"TAK","NIE")</f>
        <v>TAK</v>
      </c>
      <c r="F249" s="2">
        <f>IF(Tabela1[[#This Row],[Wypadki drogowe]]=0,0,Tabela1[[#This Row],[Zabici w wypadkach]]/Tabela1[[#This Row],[Wypadki drogowe]])</f>
        <v>0.02</v>
      </c>
      <c r="G249" s="40">
        <f>(Tabela1[[#This Row],[Zatrzymani na gorącym uczynku]]/Tabela1[[#This Row],[Interwencje]])*1000</f>
        <v>37.781954887218049</v>
      </c>
      <c r="H249">
        <v>15960</v>
      </c>
      <c r="I249">
        <v>603</v>
      </c>
      <c r="J249">
        <v>240</v>
      </c>
      <c r="K249">
        <v>304</v>
      </c>
      <c r="L249">
        <v>50</v>
      </c>
      <c r="M249">
        <v>1</v>
      </c>
      <c r="N249">
        <v>62</v>
      </c>
    </row>
    <row r="250" spans="1:14" x14ac:dyDescent="0.3">
      <c r="A250" s="1">
        <v>45751</v>
      </c>
      <c r="B250" s="1" t="str">
        <f>TEXT(Tabela1[[#This Row],[Data]],"mmmm")</f>
        <v>kwiecień</v>
      </c>
      <c r="C250" s="1" t="str">
        <f>TEXT(Tabela1[[#This Row],[Data]],"dddd")</f>
        <v>piątek</v>
      </c>
      <c r="D250">
        <f>WEEKNUM(Tabela1[[#This Row],[Data]],2)</f>
        <v>14</v>
      </c>
      <c r="E250" t="str">
        <f>IF(WEEKDAY(Tabela1[[#This Row],[Data]],2)&gt;5,"TAK","NIE")</f>
        <v>NIE</v>
      </c>
      <c r="F250" s="2">
        <f>IF(Tabela1[[#This Row],[Wypadki drogowe]]=0,0,Tabela1[[#This Row],[Zabici w wypadkach]]/Tabela1[[#This Row],[Wypadki drogowe]])</f>
        <v>2.6315789473684209E-2</v>
      </c>
      <c r="G250" s="40">
        <f>(Tabela1[[#This Row],[Zatrzymani na gorącym uczynku]]/Tabela1[[#This Row],[Interwencje]])*1000</f>
        <v>34.707395850440683</v>
      </c>
      <c r="H250">
        <v>18267</v>
      </c>
      <c r="I250">
        <v>634</v>
      </c>
      <c r="J250">
        <v>420</v>
      </c>
      <c r="K250">
        <v>270</v>
      </c>
      <c r="L250">
        <v>76</v>
      </c>
      <c r="M250">
        <v>2</v>
      </c>
      <c r="N250">
        <v>94</v>
      </c>
    </row>
    <row r="251" spans="1:14" x14ac:dyDescent="0.3">
      <c r="A251" s="1">
        <v>45750</v>
      </c>
      <c r="B251" s="1" t="str">
        <f>TEXT(Tabela1[[#This Row],[Data]],"mmmm")</f>
        <v>kwiecień</v>
      </c>
      <c r="C251" s="1" t="str">
        <f>TEXT(Tabela1[[#This Row],[Data]],"dddd")</f>
        <v>czwartek</v>
      </c>
      <c r="D251">
        <f>WEEKNUM(Tabela1[[#This Row],[Data]],2)</f>
        <v>14</v>
      </c>
      <c r="E251" t="str">
        <f>IF(WEEKDAY(Tabela1[[#This Row],[Data]],2)&gt;5,"TAK","NIE")</f>
        <v>NIE</v>
      </c>
      <c r="F251" s="2">
        <f>IF(Tabela1[[#This Row],[Wypadki drogowe]]=0,0,Tabela1[[#This Row],[Zabici w wypadkach]]/Tabela1[[#This Row],[Wypadki drogowe]])</f>
        <v>7.6923076923076927E-2</v>
      </c>
      <c r="G251" s="40">
        <f>(Tabela1[[#This Row],[Zatrzymani na gorącym uczynku]]/Tabela1[[#This Row],[Interwencje]])*1000</f>
        <v>35.662824207492797</v>
      </c>
      <c r="H251">
        <v>16656</v>
      </c>
      <c r="I251">
        <v>594</v>
      </c>
      <c r="J251">
        <v>470</v>
      </c>
      <c r="K251">
        <v>260</v>
      </c>
      <c r="L251">
        <v>78</v>
      </c>
      <c r="M251">
        <v>6</v>
      </c>
      <c r="N251">
        <v>82</v>
      </c>
    </row>
    <row r="252" spans="1:14" x14ac:dyDescent="0.3">
      <c r="A252" s="1">
        <v>45749</v>
      </c>
      <c r="B252" s="1" t="str">
        <f>TEXT(Tabela1[[#This Row],[Data]],"mmmm")</f>
        <v>kwiecień</v>
      </c>
      <c r="C252" s="1" t="str">
        <f>TEXT(Tabela1[[#This Row],[Data]],"dddd")</f>
        <v>środa</v>
      </c>
      <c r="D252">
        <f>WEEKNUM(Tabela1[[#This Row],[Data]],2)</f>
        <v>14</v>
      </c>
      <c r="E252" t="str">
        <f>IF(WEEKDAY(Tabela1[[#This Row],[Data]],2)&gt;5,"TAK","NIE")</f>
        <v>NIE</v>
      </c>
      <c r="F252" s="2">
        <f>IF(Tabela1[[#This Row],[Wypadki drogowe]]=0,0,Tabela1[[#This Row],[Zabici w wypadkach]]/Tabela1[[#This Row],[Wypadki drogowe]])</f>
        <v>3.7735849056603772E-2</v>
      </c>
      <c r="G252" s="40">
        <f>(Tabela1[[#This Row],[Zatrzymani na gorącym uczynku]]/Tabela1[[#This Row],[Interwencje]])*1000</f>
        <v>36.554674720020138</v>
      </c>
      <c r="H252">
        <v>15894</v>
      </c>
      <c r="I252">
        <v>581</v>
      </c>
      <c r="J252">
        <v>468</v>
      </c>
      <c r="K252">
        <v>251</v>
      </c>
      <c r="L252">
        <v>53</v>
      </c>
      <c r="M252">
        <v>2</v>
      </c>
      <c r="N252">
        <v>56</v>
      </c>
    </row>
    <row r="253" spans="1:14" x14ac:dyDescent="0.3">
      <c r="A253" s="1">
        <v>45748</v>
      </c>
      <c r="B253" s="1" t="str">
        <f>TEXT(Tabela1[[#This Row],[Data]],"mmmm")</f>
        <v>kwiecień</v>
      </c>
      <c r="C253" s="1" t="str">
        <f>TEXT(Tabela1[[#This Row],[Data]],"dddd")</f>
        <v>wtorek</v>
      </c>
      <c r="D253">
        <f>WEEKNUM(Tabela1[[#This Row],[Data]],2)</f>
        <v>14</v>
      </c>
      <c r="E253" t="str">
        <f>IF(WEEKDAY(Tabela1[[#This Row],[Data]],2)&gt;5,"TAK","NIE")</f>
        <v>NIE</v>
      </c>
      <c r="F253" s="2">
        <f>IF(Tabela1[[#This Row],[Wypadki drogowe]]=0,0,Tabela1[[#This Row],[Zabici w wypadkach]]/Tabela1[[#This Row],[Wypadki drogowe]])</f>
        <v>2.1739130434782608E-2</v>
      </c>
      <c r="G253" s="40">
        <f>(Tabela1[[#This Row],[Zatrzymani na gorącym uczynku]]/Tabela1[[#This Row],[Interwencje]])*1000</f>
        <v>36.258299700559824</v>
      </c>
      <c r="H253">
        <v>15362</v>
      </c>
      <c r="I253">
        <v>557</v>
      </c>
      <c r="J253">
        <v>481</v>
      </c>
      <c r="K253">
        <v>194</v>
      </c>
      <c r="L253">
        <v>46</v>
      </c>
      <c r="M253">
        <v>1</v>
      </c>
      <c r="N253">
        <v>56</v>
      </c>
    </row>
    <row r="254" spans="1:14" x14ac:dyDescent="0.3">
      <c r="A254" s="1">
        <v>45747</v>
      </c>
      <c r="B254" s="1" t="str">
        <f>TEXT(Tabela1[[#This Row],[Data]],"mmmm")</f>
        <v>marzec</v>
      </c>
      <c r="C254" s="1" t="str">
        <f>TEXT(Tabela1[[#This Row],[Data]],"dddd")</f>
        <v>poniedziałek</v>
      </c>
      <c r="D254">
        <f>WEEKNUM(Tabela1[[#This Row],[Data]],2)</f>
        <v>14</v>
      </c>
      <c r="E254" t="str">
        <f>IF(WEEKDAY(Tabela1[[#This Row],[Data]],2)&gt;5,"TAK","NIE")</f>
        <v>NIE</v>
      </c>
      <c r="F254" s="2">
        <f>IF(Tabela1[[#This Row],[Wypadki drogowe]]=0,0,Tabela1[[#This Row],[Zabici w wypadkach]]/Tabela1[[#This Row],[Wypadki drogowe]])</f>
        <v>2.564102564102564E-2</v>
      </c>
      <c r="G254" s="40">
        <f>(Tabela1[[#This Row],[Zatrzymani na gorącym uczynku]]/Tabela1[[#This Row],[Interwencje]])*1000</f>
        <v>37.965425531914889</v>
      </c>
      <c r="H254">
        <v>15040</v>
      </c>
      <c r="I254">
        <v>571</v>
      </c>
      <c r="J254">
        <v>389</v>
      </c>
      <c r="K254">
        <v>282</v>
      </c>
      <c r="L254">
        <v>39</v>
      </c>
      <c r="M254">
        <v>1</v>
      </c>
      <c r="N254">
        <v>54</v>
      </c>
    </row>
    <row r="255" spans="1:14" x14ac:dyDescent="0.3">
      <c r="A255" s="1">
        <v>45746</v>
      </c>
      <c r="B255" s="1" t="str">
        <f>TEXT(Tabela1[[#This Row],[Data]],"mmmm")</f>
        <v>marzec</v>
      </c>
      <c r="C255" s="1" t="str">
        <f>TEXT(Tabela1[[#This Row],[Data]],"dddd")</f>
        <v>niedziela</v>
      </c>
      <c r="D255">
        <f>WEEKNUM(Tabela1[[#This Row],[Data]],2)</f>
        <v>13</v>
      </c>
      <c r="E255" t="str">
        <f>IF(WEEKDAY(Tabela1[[#This Row],[Data]],2)&gt;5,"TAK","NIE")</f>
        <v>TAK</v>
      </c>
      <c r="F255" s="2">
        <f>IF(Tabela1[[#This Row],[Wypadki drogowe]]=0,0,Tabela1[[#This Row],[Zabici w wypadkach]]/Tabela1[[#This Row],[Wypadki drogowe]])</f>
        <v>8.1081081081081086E-2</v>
      </c>
      <c r="G255" s="40">
        <f>(Tabela1[[#This Row],[Zatrzymani na gorącym uczynku]]/Tabela1[[#This Row],[Interwencje]])*1000</f>
        <v>36.234128213069063</v>
      </c>
      <c r="H255">
        <v>12916</v>
      </c>
      <c r="I255">
        <v>468</v>
      </c>
      <c r="J255">
        <v>200</v>
      </c>
      <c r="K255">
        <v>310</v>
      </c>
      <c r="L255">
        <v>37</v>
      </c>
      <c r="M255">
        <v>3</v>
      </c>
      <c r="N255">
        <v>50</v>
      </c>
    </row>
    <row r="256" spans="1:14" x14ac:dyDescent="0.3">
      <c r="A256" s="1">
        <v>45745</v>
      </c>
      <c r="B256" s="1" t="str">
        <f>TEXT(Tabela1[[#This Row],[Data]],"mmmm")</f>
        <v>marzec</v>
      </c>
      <c r="C256" s="1" t="str">
        <f>TEXT(Tabela1[[#This Row],[Data]],"dddd")</f>
        <v>sobota</v>
      </c>
      <c r="D256">
        <f>WEEKNUM(Tabela1[[#This Row],[Data]],2)</f>
        <v>13</v>
      </c>
      <c r="E256" t="str">
        <f>IF(WEEKDAY(Tabela1[[#This Row],[Data]],2)&gt;5,"TAK","NIE")</f>
        <v>TAK</v>
      </c>
      <c r="F256" s="2">
        <f>IF(Tabela1[[#This Row],[Wypadki drogowe]]=0,0,Tabela1[[#This Row],[Zabici w wypadkach]]/Tabela1[[#This Row],[Wypadki drogowe]])</f>
        <v>6.25E-2</v>
      </c>
      <c r="G256" s="40">
        <f>(Tabela1[[#This Row],[Zatrzymani na gorącym uczynku]]/Tabela1[[#This Row],[Interwencje]])*1000</f>
        <v>35.236866791744845</v>
      </c>
      <c r="H256">
        <v>17056</v>
      </c>
      <c r="I256">
        <v>601</v>
      </c>
      <c r="J256">
        <v>271</v>
      </c>
      <c r="K256">
        <v>313</v>
      </c>
      <c r="L256">
        <v>48</v>
      </c>
      <c r="M256">
        <v>3</v>
      </c>
      <c r="N256">
        <v>54</v>
      </c>
    </row>
    <row r="257" spans="1:14" x14ac:dyDescent="0.3">
      <c r="A257" s="1">
        <v>45744</v>
      </c>
      <c r="B257" s="1" t="str">
        <f>TEXT(Tabela1[[#This Row],[Data]],"mmmm")</f>
        <v>marzec</v>
      </c>
      <c r="C257" s="1" t="str">
        <f>TEXT(Tabela1[[#This Row],[Data]],"dddd")</f>
        <v>piątek</v>
      </c>
      <c r="D257">
        <f>WEEKNUM(Tabela1[[#This Row],[Data]],2)</f>
        <v>13</v>
      </c>
      <c r="E257" t="str">
        <f>IF(WEEKDAY(Tabela1[[#This Row],[Data]],2)&gt;5,"TAK","NIE")</f>
        <v>NIE</v>
      </c>
      <c r="F257" s="2">
        <f>IF(Tabela1[[#This Row],[Wypadki drogowe]]=0,0,Tabela1[[#This Row],[Zabici w wypadkach]]/Tabela1[[#This Row],[Wypadki drogowe]])</f>
        <v>0</v>
      </c>
      <c r="G257" s="40">
        <f>(Tabela1[[#This Row],[Zatrzymani na gorącym uczynku]]/Tabela1[[#This Row],[Interwencje]])*1000</f>
        <v>31.570549350353318</v>
      </c>
      <c r="H257">
        <v>17548</v>
      </c>
      <c r="I257">
        <v>554</v>
      </c>
      <c r="J257">
        <v>473</v>
      </c>
      <c r="K257">
        <v>225</v>
      </c>
      <c r="L257">
        <v>51</v>
      </c>
      <c r="M257">
        <v>0</v>
      </c>
      <c r="N257">
        <v>67</v>
      </c>
    </row>
    <row r="258" spans="1:14" x14ac:dyDescent="0.3">
      <c r="A258" s="1">
        <v>45743</v>
      </c>
      <c r="B258" s="1" t="str">
        <f>TEXT(Tabela1[[#This Row],[Data]],"mmmm")</f>
        <v>marzec</v>
      </c>
      <c r="C258" s="1" t="str">
        <f>TEXT(Tabela1[[#This Row],[Data]],"dddd")</f>
        <v>czwartek</v>
      </c>
      <c r="D258">
        <f>WEEKNUM(Tabela1[[#This Row],[Data]],2)</f>
        <v>13</v>
      </c>
      <c r="E258" t="str">
        <f>IF(WEEKDAY(Tabela1[[#This Row],[Data]],2)&gt;5,"TAK","NIE")</f>
        <v>NIE</v>
      </c>
      <c r="F258" s="2">
        <f>IF(Tabela1[[#This Row],[Wypadki drogowe]]=0,0,Tabela1[[#This Row],[Zabici w wypadkach]]/Tabela1[[#This Row],[Wypadki drogowe]])</f>
        <v>4.5454545454545456E-2</v>
      </c>
      <c r="G258" s="40">
        <f>(Tabela1[[#This Row],[Zatrzymani na gorącym uczynku]]/Tabela1[[#This Row],[Interwencje]])*1000</f>
        <v>39.199332777314432</v>
      </c>
      <c r="H258">
        <v>15587</v>
      </c>
      <c r="I258">
        <v>611</v>
      </c>
      <c r="J258">
        <v>464</v>
      </c>
      <c r="K258">
        <v>260</v>
      </c>
      <c r="L258">
        <v>44</v>
      </c>
      <c r="M258">
        <v>2</v>
      </c>
      <c r="N258">
        <v>60</v>
      </c>
    </row>
    <row r="259" spans="1:14" x14ac:dyDescent="0.3">
      <c r="A259" s="1">
        <v>45742</v>
      </c>
      <c r="B259" s="1" t="str">
        <f>TEXT(Tabela1[[#This Row],[Data]],"mmmm")</f>
        <v>marzec</v>
      </c>
      <c r="C259" s="1" t="str">
        <f>TEXT(Tabela1[[#This Row],[Data]],"dddd")</f>
        <v>środa</v>
      </c>
      <c r="D259">
        <f>WEEKNUM(Tabela1[[#This Row],[Data]],2)</f>
        <v>13</v>
      </c>
      <c r="E259" t="str">
        <f>IF(WEEKDAY(Tabela1[[#This Row],[Data]],2)&gt;5,"TAK","NIE")</f>
        <v>NIE</v>
      </c>
      <c r="F259" s="2">
        <f>IF(Tabela1[[#This Row],[Wypadki drogowe]]=0,0,Tabela1[[#This Row],[Zabici w wypadkach]]/Tabela1[[#This Row],[Wypadki drogowe]])</f>
        <v>2.7027027027027029E-2</v>
      </c>
      <c r="G259" s="40">
        <f>(Tabela1[[#This Row],[Zatrzymani na gorącym uczynku]]/Tabela1[[#This Row],[Interwencje]])*1000</f>
        <v>37.982805081483384</v>
      </c>
      <c r="H259">
        <v>15586</v>
      </c>
      <c r="I259">
        <v>592</v>
      </c>
      <c r="J259">
        <v>478</v>
      </c>
      <c r="K259">
        <v>210</v>
      </c>
      <c r="L259">
        <v>37</v>
      </c>
      <c r="M259">
        <v>1</v>
      </c>
      <c r="N259">
        <v>37</v>
      </c>
    </row>
    <row r="260" spans="1:14" x14ac:dyDescent="0.3">
      <c r="A260" s="1">
        <v>45741</v>
      </c>
      <c r="B260" s="1" t="str">
        <f>TEXT(Tabela1[[#This Row],[Data]],"mmmm")</f>
        <v>marzec</v>
      </c>
      <c r="C260" s="1" t="str">
        <f>TEXT(Tabela1[[#This Row],[Data]],"dddd")</f>
        <v>wtorek</v>
      </c>
      <c r="D260">
        <f>WEEKNUM(Tabela1[[#This Row],[Data]],2)</f>
        <v>13</v>
      </c>
      <c r="E260" t="str">
        <f>IF(WEEKDAY(Tabela1[[#This Row],[Data]],2)&gt;5,"TAK","NIE")</f>
        <v>NIE</v>
      </c>
      <c r="F260" s="2">
        <f>IF(Tabela1[[#This Row],[Wypadki drogowe]]=0,0,Tabela1[[#This Row],[Zabici w wypadkach]]/Tabela1[[#This Row],[Wypadki drogowe]])</f>
        <v>2.7027027027027029E-2</v>
      </c>
      <c r="G260" s="40">
        <f>(Tabela1[[#This Row],[Zatrzymani na gorącym uczynku]]/Tabela1[[#This Row],[Interwencje]])*1000</f>
        <v>33.712925432670652</v>
      </c>
      <c r="H260">
        <v>15543</v>
      </c>
      <c r="I260">
        <v>524</v>
      </c>
      <c r="J260">
        <v>451</v>
      </c>
      <c r="K260">
        <v>201</v>
      </c>
      <c r="L260">
        <v>37</v>
      </c>
      <c r="M260">
        <v>1</v>
      </c>
      <c r="N260">
        <v>49</v>
      </c>
    </row>
    <row r="261" spans="1:14" x14ac:dyDescent="0.3">
      <c r="A261" s="1">
        <v>45740</v>
      </c>
      <c r="B261" s="1" t="str">
        <f>TEXT(Tabela1[[#This Row],[Data]],"mmmm")</f>
        <v>marzec</v>
      </c>
      <c r="C261" s="1" t="str">
        <f>TEXT(Tabela1[[#This Row],[Data]],"dddd")</f>
        <v>poniedziałek</v>
      </c>
      <c r="D261">
        <f>WEEKNUM(Tabela1[[#This Row],[Data]],2)</f>
        <v>13</v>
      </c>
      <c r="E261" t="str">
        <f>IF(WEEKDAY(Tabela1[[#This Row],[Data]],2)&gt;5,"TAK","NIE")</f>
        <v>NIE</v>
      </c>
      <c r="F261" s="2">
        <f>IF(Tabela1[[#This Row],[Wypadki drogowe]]=0,0,Tabela1[[#This Row],[Zabici w wypadkach]]/Tabela1[[#This Row],[Wypadki drogowe]])</f>
        <v>5.4054054054054057E-2</v>
      </c>
      <c r="G261" s="40">
        <f>(Tabela1[[#This Row],[Zatrzymani na gorącym uczynku]]/Tabela1[[#This Row],[Interwencje]])*1000</f>
        <v>34.711181770005297</v>
      </c>
      <c r="H261">
        <v>15096</v>
      </c>
      <c r="I261">
        <v>524</v>
      </c>
      <c r="J261">
        <v>364</v>
      </c>
      <c r="K261">
        <v>267</v>
      </c>
      <c r="L261">
        <v>37</v>
      </c>
      <c r="M261">
        <v>2</v>
      </c>
      <c r="N261">
        <v>43</v>
      </c>
    </row>
    <row r="262" spans="1:14" x14ac:dyDescent="0.3">
      <c r="A262" s="1">
        <v>45739</v>
      </c>
      <c r="B262" s="1" t="str">
        <f>TEXT(Tabela1[[#This Row],[Data]],"mmmm")</f>
        <v>marzec</v>
      </c>
      <c r="C262" s="1" t="str">
        <f>TEXT(Tabela1[[#This Row],[Data]],"dddd")</f>
        <v>niedziela</v>
      </c>
      <c r="D262">
        <f>WEEKNUM(Tabela1[[#This Row],[Data]],2)</f>
        <v>12</v>
      </c>
      <c r="E262" t="str">
        <f>IF(WEEKDAY(Tabela1[[#This Row],[Data]],2)&gt;5,"TAK","NIE")</f>
        <v>TAK</v>
      </c>
      <c r="F262" s="2">
        <f>IF(Tabela1[[#This Row],[Wypadki drogowe]]=0,0,Tabela1[[#This Row],[Zabici w wypadkach]]/Tabela1[[#This Row],[Wypadki drogowe]])</f>
        <v>8.1081081081081086E-2</v>
      </c>
      <c r="G262" s="40">
        <f>(Tabela1[[#This Row],[Zatrzymani na gorącym uczynku]]/Tabela1[[#This Row],[Interwencje]])*1000</f>
        <v>43.731100255873457</v>
      </c>
      <c r="H262">
        <v>12897</v>
      </c>
      <c r="I262">
        <v>564</v>
      </c>
      <c r="J262">
        <v>246</v>
      </c>
      <c r="K262">
        <v>301</v>
      </c>
      <c r="L262">
        <v>37</v>
      </c>
      <c r="M262">
        <v>3</v>
      </c>
      <c r="N262">
        <v>44</v>
      </c>
    </row>
    <row r="263" spans="1:14" x14ac:dyDescent="0.3">
      <c r="A263" s="1">
        <v>45738</v>
      </c>
      <c r="B263" s="1" t="str">
        <f>TEXT(Tabela1[[#This Row],[Data]],"mmmm")</f>
        <v>marzec</v>
      </c>
      <c r="C263" s="1" t="str">
        <f>TEXT(Tabela1[[#This Row],[Data]],"dddd")</f>
        <v>sobota</v>
      </c>
      <c r="D263">
        <f>WEEKNUM(Tabela1[[#This Row],[Data]],2)</f>
        <v>12</v>
      </c>
      <c r="E263" t="str">
        <f>IF(WEEKDAY(Tabela1[[#This Row],[Data]],2)&gt;5,"TAK","NIE")</f>
        <v>TAK</v>
      </c>
      <c r="F263" s="2">
        <f>IF(Tabela1[[#This Row],[Wypadki drogowe]]=0,0,Tabela1[[#This Row],[Zabici w wypadkach]]/Tabela1[[#This Row],[Wypadki drogowe]])</f>
        <v>1.8518518518518517E-2</v>
      </c>
      <c r="G263" s="40">
        <f>(Tabela1[[#This Row],[Zatrzymani na gorącym uczynku]]/Tabela1[[#This Row],[Interwencje]])*1000</f>
        <v>34.926140781053768</v>
      </c>
      <c r="H263">
        <v>16721</v>
      </c>
      <c r="I263">
        <v>584</v>
      </c>
      <c r="J263">
        <v>281</v>
      </c>
      <c r="K263">
        <v>300</v>
      </c>
      <c r="L263">
        <v>54</v>
      </c>
      <c r="M263">
        <v>1</v>
      </c>
      <c r="N263">
        <v>69</v>
      </c>
    </row>
    <row r="264" spans="1:14" x14ac:dyDescent="0.3">
      <c r="A264" s="1">
        <v>45737</v>
      </c>
      <c r="B264" s="1" t="str">
        <f>TEXT(Tabela1[[#This Row],[Data]],"mmmm")</f>
        <v>marzec</v>
      </c>
      <c r="C264" s="1" t="str">
        <f>TEXT(Tabela1[[#This Row],[Data]],"dddd")</f>
        <v>piątek</v>
      </c>
      <c r="D264">
        <f>WEEKNUM(Tabela1[[#This Row],[Data]],2)</f>
        <v>12</v>
      </c>
      <c r="E264" t="str">
        <f>IF(WEEKDAY(Tabela1[[#This Row],[Data]],2)&gt;5,"TAK","NIE")</f>
        <v>NIE</v>
      </c>
      <c r="F264" s="2">
        <f>IF(Tabela1[[#This Row],[Wypadki drogowe]]=0,0,Tabela1[[#This Row],[Zabici w wypadkach]]/Tabela1[[#This Row],[Wypadki drogowe]])</f>
        <v>0.10526315789473684</v>
      </c>
      <c r="G264" s="40">
        <f>(Tabela1[[#This Row],[Zatrzymani na gorącym uczynku]]/Tabela1[[#This Row],[Interwencje]])*1000</f>
        <v>36.450167973124302</v>
      </c>
      <c r="H264">
        <v>17860</v>
      </c>
      <c r="I264">
        <v>651</v>
      </c>
      <c r="J264">
        <v>403</v>
      </c>
      <c r="K264">
        <v>282</v>
      </c>
      <c r="L264">
        <v>57</v>
      </c>
      <c r="M264">
        <v>6</v>
      </c>
      <c r="N264">
        <v>66</v>
      </c>
    </row>
    <row r="265" spans="1:14" x14ac:dyDescent="0.3">
      <c r="A265" s="1">
        <v>45736</v>
      </c>
      <c r="B265" s="1" t="str">
        <f>TEXT(Tabela1[[#This Row],[Data]],"mmmm")</f>
        <v>marzec</v>
      </c>
      <c r="C265" s="1" t="str">
        <f>TEXT(Tabela1[[#This Row],[Data]],"dddd")</f>
        <v>czwartek</v>
      </c>
      <c r="D265">
        <f>WEEKNUM(Tabela1[[#This Row],[Data]],2)</f>
        <v>12</v>
      </c>
      <c r="E265" t="str">
        <f>IF(WEEKDAY(Tabela1[[#This Row],[Data]],2)&gt;5,"TAK","NIE")</f>
        <v>NIE</v>
      </c>
      <c r="F265" s="2">
        <f>IF(Tabela1[[#This Row],[Wypadki drogowe]]=0,0,Tabela1[[#This Row],[Zabici w wypadkach]]/Tabela1[[#This Row],[Wypadki drogowe]])</f>
        <v>4.1666666666666664E-2</v>
      </c>
      <c r="G265" s="40">
        <f>(Tabela1[[#This Row],[Zatrzymani na gorącym uczynku]]/Tabela1[[#This Row],[Interwencje]])*1000</f>
        <v>38.714073339940533</v>
      </c>
      <c r="H265">
        <v>16144</v>
      </c>
      <c r="I265">
        <v>625</v>
      </c>
      <c r="J265">
        <v>443</v>
      </c>
      <c r="K265">
        <v>243</v>
      </c>
      <c r="L265">
        <v>72</v>
      </c>
      <c r="M265">
        <v>3</v>
      </c>
      <c r="N265">
        <v>81</v>
      </c>
    </row>
    <row r="266" spans="1:14" x14ac:dyDescent="0.3">
      <c r="A266" s="1">
        <v>45735</v>
      </c>
      <c r="B266" s="1" t="str">
        <f>TEXT(Tabela1[[#This Row],[Data]],"mmmm")</f>
        <v>marzec</v>
      </c>
      <c r="C266" s="1" t="str">
        <f>TEXT(Tabela1[[#This Row],[Data]],"dddd")</f>
        <v>środa</v>
      </c>
      <c r="D266">
        <f>WEEKNUM(Tabela1[[#This Row],[Data]],2)</f>
        <v>12</v>
      </c>
      <c r="E266" t="str">
        <f>IF(WEEKDAY(Tabela1[[#This Row],[Data]],2)&gt;5,"TAK","NIE")</f>
        <v>NIE</v>
      </c>
      <c r="F266" s="2">
        <f>IF(Tabela1[[#This Row],[Wypadki drogowe]]=0,0,Tabela1[[#This Row],[Zabici w wypadkach]]/Tabela1[[#This Row],[Wypadki drogowe]])</f>
        <v>2.2727272727272728E-2</v>
      </c>
      <c r="G266" s="40">
        <f>(Tabela1[[#This Row],[Zatrzymani na gorącym uczynku]]/Tabela1[[#This Row],[Interwencje]])*1000</f>
        <v>38.459001253380826</v>
      </c>
      <c r="H266">
        <v>15159</v>
      </c>
      <c r="I266">
        <v>583</v>
      </c>
      <c r="J266">
        <v>435</v>
      </c>
      <c r="K266">
        <v>204</v>
      </c>
      <c r="L266">
        <v>44</v>
      </c>
      <c r="M266">
        <v>1</v>
      </c>
      <c r="N266">
        <v>47</v>
      </c>
    </row>
    <row r="267" spans="1:14" x14ac:dyDescent="0.3">
      <c r="A267" s="1">
        <v>45734</v>
      </c>
      <c r="B267" s="1" t="str">
        <f>TEXT(Tabela1[[#This Row],[Data]],"mmmm")</f>
        <v>marzec</v>
      </c>
      <c r="C267" s="1" t="str">
        <f>TEXT(Tabela1[[#This Row],[Data]],"dddd")</f>
        <v>wtorek</v>
      </c>
      <c r="D267">
        <f>WEEKNUM(Tabela1[[#This Row],[Data]],2)</f>
        <v>12</v>
      </c>
      <c r="E267" t="str">
        <f>IF(WEEKDAY(Tabela1[[#This Row],[Data]],2)&gt;5,"TAK","NIE")</f>
        <v>NIE</v>
      </c>
      <c r="F267" s="2">
        <f>IF(Tabela1[[#This Row],[Wypadki drogowe]]=0,0,Tabela1[[#This Row],[Zabici w wypadkach]]/Tabela1[[#This Row],[Wypadki drogowe]])</f>
        <v>4.7619047619047616E-2</v>
      </c>
      <c r="G267" s="40">
        <f>(Tabela1[[#This Row],[Zatrzymani na gorącym uczynku]]/Tabela1[[#This Row],[Interwencje]])*1000</f>
        <v>37.780247074972216</v>
      </c>
      <c r="H267">
        <v>15299</v>
      </c>
      <c r="I267">
        <v>578</v>
      </c>
      <c r="J267">
        <v>789</v>
      </c>
      <c r="K267">
        <v>201</v>
      </c>
      <c r="L267">
        <v>42</v>
      </c>
      <c r="M267">
        <v>2</v>
      </c>
      <c r="N267">
        <v>52</v>
      </c>
    </row>
    <row r="268" spans="1:14" x14ac:dyDescent="0.3">
      <c r="A268" s="1">
        <v>45733</v>
      </c>
      <c r="B268" s="1" t="str">
        <f>TEXT(Tabela1[[#This Row],[Data]],"mmmm")</f>
        <v>marzec</v>
      </c>
      <c r="C268" s="1" t="str">
        <f>TEXT(Tabela1[[#This Row],[Data]],"dddd")</f>
        <v>poniedziałek</v>
      </c>
      <c r="D268">
        <f>WEEKNUM(Tabela1[[#This Row],[Data]],2)</f>
        <v>12</v>
      </c>
      <c r="E268" t="str">
        <f>IF(WEEKDAY(Tabela1[[#This Row],[Data]],2)&gt;5,"TAK","NIE")</f>
        <v>NIE</v>
      </c>
      <c r="F268" s="2">
        <f>IF(Tabela1[[#This Row],[Wypadki drogowe]]=0,0,Tabela1[[#This Row],[Zabici w wypadkach]]/Tabela1[[#This Row],[Wypadki drogowe]])</f>
        <v>6.25E-2</v>
      </c>
      <c r="G268" s="40">
        <f>(Tabela1[[#This Row],[Zatrzymani na gorącym uczynku]]/Tabela1[[#This Row],[Interwencje]])*1000</f>
        <v>31.569555967332374</v>
      </c>
      <c r="H268">
        <v>14571</v>
      </c>
      <c r="I268">
        <v>460</v>
      </c>
      <c r="J268">
        <v>385</v>
      </c>
      <c r="K268">
        <v>178</v>
      </c>
      <c r="L268">
        <v>48</v>
      </c>
      <c r="M268">
        <v>3</v>
      </c>
      <c r="N268">
        <v>57</v>
      </c>
    </row>
    <row r="269" spans="1:14" x14ac:dyDescent="0.3">
      <c r="A269" s="1">
        <v>45732</v>
      </c>
      <c r="B269" s="1" t="str">
        <f>TEXT(Tabela1[[#This Row],[Data]],"mmmm")</f>
        <v>marzec</v>
      </c>
      <c r="C269" s="1" t="str">
        <f>TEXT(Tabela1[[#This Row],[Data]],"dddd")</f>
        <v>niedziela</v>
      </c>
      <c r="D269">
        <f>WEEKNUM(Tabela1[[#This Row],[Data]],2)</f>
        <v>11</v>
      </c>
      <c r="E269" t="str">
        <f>IF(WEEKDAY(Tabela1[[#This Row],[Data]],2)&gt;5,"TAK","NIE")</f>
        <v>TAK</v>
      </c>
      <c r="F269" s="2">
        <f>IF(Tabela1[[#This Row],[Wypadki drogowe]]=0,0,Tabela1[[#This Row],[Zabici w wypadkach]]/Tabela1[[#This Row],[Wypadki drogowe]])</f>
        <v>0.10526315789473684</v>
      </c>
      <c r="G269" s="40">
        <f>(Tabela1[[#This Row],[Zatrzymani na gorącym uczynku]]/Tabela1[[#This Row],[Interwencje]])*1000</f>
        <v>42.525174283501158</v>
      </c>
      <c r="H269">
        <v>12910</v>
      </c>
      <c r="I269">
        <v>549</v>
      </c>
      <c r="J269">
        <v>241</v>
      </c>
      <c r="K269">
        <v>288</v>
      </c>
      <c r="L269">
        <v>38</v>
      </c>
      <c r="M269">
        <v>4</v>
      </c>
      <c r="N269">
        <v>43</v>
      </c>
    </row>
    <row r="270" spans="1:14" x14ac:dyDescent="0.3">
      <c r="A270" s="1">
        <v>45731</v>
      </c>
      <c r="B270" s="1" t="str">
        <f>TEXT(Tabela1[[#This Row],[Data]],"mmmm")</f>
        <v>marzec</v>
      </c>
      <c r="C270" s="1" t="str">
        <f>TEXT(Tabela1[[#This Row],[Data]],"dddd")</f>
        <v>sobota</v>
      </c>
      <c r="D270">
        <f>WEEKNUM(Tabela1[[#This Row],[Data]],2)</f>
        <v>11</v>
      </c>
      <c r="E270" t="str">
        <f>IF(WEEKDAY(Tabela1[[#This Row],[Data]],2)&gt;5,"TAK","NIE")</f>
        <v>TAK</v>
      </c>
      <c r="F270" s="2">
        <f>IF(Tabela1[[#This Row],[Wypadki drogowe]]=0,0,Tabela1[[#This Row],[Zabici w wypadkach]]/Tabela1[[#This Row],[Wypadki drogowe]])</f>
        <v>0.1</v>
      </c>
      <c r="G270" s="40">
        <f>(Tabela1[[#This Row],[Zatrzymani na gorącym uczynku]]/Tabela1[[#This Row],[Interwencje]])*1000</f>
        <v>36.113276175630034</v>
      </c>
      <c r="H270">
        <v>15396</v>
      </c>
      <c r="I270">
        <v>556</v>
      </c>
      <c r="J270">
        <v>263</v>
      </c>
      <c r="K270">
        <v>245</v>
      </c>
      <c r="L270">
        <v>50</v>
      </c>
      <c r="M270">
        <v>5</v>
      </c>
      <c r="N270">
        <v>70</v>
      </c>
    </row>
    <row r="271" spans="1:14" x14ac:dyDescent="0.3">
      <c r="A271" s="1">
        <v>45730</v>
      </c>
      <c r="B271" s="1" t="str">
        <f>TEXT(Tabela1[[#This Row],[Data]],"mmmm")</f>
        <v>marzec</v>
      </c>
      <c r="C271" s="1" t="str">
        <f>TEXT(Tabela1[[#This Row],[Data]],"dddd")</f>
        <v>piątek</v>
      </c>
      <c r="D271">
        <f>WEEKNUM(Tabela1[[#This Row],[Data]],2)</f>
        <v>11</v>
      </c>
      <c r="E271" t="str">
        <f>IF(WEEKDAY(Tabela1[[#This Row],[Data]],2)&gt;5,"TAK","NIE")</f>
        <v>NIE</v>
      </c>
      <c r="F271" s="2">
        <f>IF(Tabela1[[#This Row],[Wypadki drogowe]]=0,0,Tabela1[[#This Row],[Zabici w wypadkach]]/Tabela1[[#This Row],[Wypadki drogowe]])</f>
        <v>8.5106382978723402E-2</v>
      </c>
      <c r="G271" s="40">
        <f>(Tabela1[[#This Row],[Zatrzymani na gorącym uczynku]]/Tabela1[[#This Row],[Interwencje]])*1000</f>
        <v>35.026822341432634</v>
      </c>
      <c r="H271">
        <v>15845</v>
      </c>
      <c r="I271">
        <v>555</v>
      </c>
      <c r="J271">
        <v>390</v>
      </c>
      <c r="K271">
        <v>225</v>
      </c>
      <c r="L271">
        <v>47</v>
      </c>
      <c r="M271">
        <v>4</v>
      </c>
      <c r="N271">
        <v>52</v>
      </c>
    </row>
    <row r="272" spans="1:14" x14ac:dyDescent="0.3">
      <c r="A272" s="1">
        <v>45729</v>
      </c>
      <c r="B272" s="1" t="str">
        <f>TEXT(Tabela1[[#This Row],[Data]],"mmmm")</f>
        <v>marzec</v>
      </c>
      <c r="C272" s="1" t="str">
        <f>TEXT(Tabela1[[#This Row],[Data]],"dddd")</f>
        <v>czwartek</v>
      </c>
      <c r="D272">
        <f>WEEKNUM(Tabela1[[#This Row],[Data]],2)</f>
        <v>11</v>
      </c>
      <c r="E272" t="str">
        <f>IF(WEEKDAY(Tabela1[[#This Row],[Data]],2)&gt;5,"TAK","NIE")</f>
        <v>NIE</v>
      </c>
      <c r="F272" s="2">
        <f>IF(Tabela1[[#This Row],[Wypadki drogowe]]=0,0,Tabela1[[#This Row],[Zabici w wypadkach]]/Tabela1[[#This Row],[Wypadki drogowe]])</f>
        <v>9.5238095238095233E-2</v>
      </c>
      <c r="G272" s="40">
        <f>(Tabela1[[#This Row],[Zatrzymani na gorącym uczynku]]/Tabela1[[#This Row],[Interwencje]])*1000</f>
        <v>41.817450743868115</v>
      </c>
      <c r="H272">
        <v>14922</v>
      </c>
      <c r="I272">
        <v>624</v>
      </c>
      <c r="J272">
        <v>428</v>
      </c>
      <c r="K272">
        <v>265</v>
      </c>
      <c r="L272">
        <v>63</v>
      </c>
      <c r="M272">
        <v>6</v>
      </c>
      <c r="N272">
        <v>71</v>
      </c>
    </row>
    <row r="273" spans="1:14" x14ac:dyDescent="0.3">
      <c r="A273" s="1">
        <v>45728</v>
      </c>
      <c r="B273" s="1" t="str">
        <f>TEXT(Tabela1[[#This Row],[Data]],"mmmm")</f>
        <v>marzec</v>
      </c>
      <c r="C273" s="1" t="str">
        <f>TEXT(Tabela1[[#This Row],[Data]],"dddd")</f>
        <v>środa</v>
      </c>
      <c r="D273">
        <f>WEEKNUM(Tabela1[[#This Row],[Data]],2)</f>
        <v>11</v>
      </c>
      <c r="E273" t="str">
        <f>IF(WEEKDAY(Tabela1[[#This Row],[Data]],2)&gt;5,"TAK","NIE")</f>
        <v>NIE</v>
      </c>
      <c r="F273" s="2">
        <f>IF(Tabela1[[#This Row],[Wypadki drogowe]]=0,0,Tabela1[[#This Row],[Zabici w wypadkach]]/Tabela1[[#This Row],[Wypadki drogowe]])</f>
        <v>0.13333333333333333</v>
      </c>
      <c r="G273" s="40">
        <f>(Tabela1[[#This Row],[Zatrzymani na gorącym uczynku]]/Tabela1[[#This Row],[Interwencje]])*1000</f>
        <v>38.356164383561648</v>
      </c>
      <c r="H273">
        <v>15695</v>
      </c>
      <c r="I273">
        <v>602</v>
      </c>
      <c r="J273">
        <v>469</v>
      </c>
      <c r="K273">
        <v>213</v>
      </c>
      <c r="L273">
        <v>45</v>
      </c>
      <c r="M273">
        <v>6</v>
      </c>
      <c r="N273">
        <v>46</v>
      </c>
    </row>
    <row r="274" spans="1:14" x14ac:dyDescent="0.3">
      <c r="A274" s="1">
        <v>45727</v>
      </c>
      <c r="B274" s="1" t="str">
        <f>TEXT(Tabela1[[#This Row],[Data]],"mmmm")</f>
        <v>marzec</v>
      </c>
      <c r="C274" s="1" t="str">
        <f>TEXT(Tabela1[[#This Row],[Data]],"dddd")</f>
        <v>wtorek</v>
      </c>
      <c r="D274">
        <f>WEEKNUM(Tabela1[[#This Row],[Data]],2)</f>
        <v>11</v>
      </c>
      <c r="E274" t="str">
        <f>IF(WEEKDAY(Tabela1[[#This Row],[Data]],2)&gt;5,"TAK","NIE")</f>
        <v>NIE</v>
      </c>
      <c r="F274" s="2">
        <f>IF(Tabela1[[#This Row],[Wypadki drogowe]]=0,0,Tabela1[[#This Row],[Zabici w wypadkach]]/Tabela1[[#This Row],[Wypadki drogowe]])</f>
        <v>8.5106382978723402E-2</v>
      </c>
      <c r="G274" s="40">
        <f>(Tabela1[[#This Row],[Zatrzymani na gorącym uczynku]]/Tabela1[[#This Row],[Interwencje]])*1000</f>
        <v>38.356164383561648</v>
      </c>
      <c r="H274">
        <v>15695</v>
      </c>
      <c r="I274">
        <v>602</v>
      </c>
      <c r="J274">
        <v>437</v>
      </c>
      <c r="K274">
        <v>246</v>
      </c>
      <c r="L274">
        <v>47</v>
      </c>
      <c r="M274">
        <v>4</v>
      </c>
      <c r="N274">
        <v>52</v>
      </c>
    </row>
    <row r="275" spans="1:14" x14ac:dyDescent="0.3">
      <c r="A275" s="1">
        <v>45726</v>
      </c>
      <c r="B275" s="1" t="str">
        <f>TEXT(Tabela1[[#This Row],[Data]],"mmmm")</f>
        <v>marzec</v>
      </c>
      <c r="C275" s="1" t="str">
        <f>TEXT(Tabela1[[#This Row],[Data]],"dddd")</f>
        <v>poniedziałek</v>
      </c>
      <c r="D275">
        <f>WEEKNUM(Tabela1[[#This Row],[Data]],2)</f>
        <v>11</v>
      </c>
      <c r="E275" t="str">
        <f>IF(WEEKDAY(Tabela1[[#This Row],[Data]],2)&gt;5,"TAK","NIE")</f>
        <v>NIE</v>
      </c>
      <c r="F275" s="2">
        <f>IF(Tabela1[[#This Row],[Wypadki drogowe]]=0,0,Tabela1[[#This Row],[Zabici w wypadkach]]/Tabela1[[#This Row],[Wypadki drogowe]])</f>
        <v>4.0816326530612242E-2</v>
      </c>
      <c r="G275" s="40">
        <f>(Tabela1[[#This Row],[Zatrzymani na gorącym uczynku]]/Tabela1[[#This Row],[Interwencje]])*1000</f>
        <v>42.919243249862248</v>
      </c>
      <c r="H275">
        <v>16333</v>
      </c>
      <c r="I275">
        <v>701</v>
      </c>
      <c r="J275">
        <v>386</v>
      </c>
      <c r="K275">
        <v>401</v>
      </c>
      <c r="L275">
        <v>49</v>
      </c>
      <c r="M275">
        <v>2</v>
      </c>
      <c r="N275">
        <v>50</v>
      </c>
    </row>
    <row r="276" spans="1:14" x14ac:dyDescent="0.3">
      <c r="A276" s="1">
        <v>45725</v>
      </c>
      <c r="B276" s="1" t="str">
        <f>TEXT(Tabela1[[#This Row],[Data]],"mmmm")</f>
        <v>marzec</v>
      </c>
      <c r="C276" s="1" t="str">
        <f>TEXT(Tabela1[[#This Row],[Data]],"dddd")</f>
        <v>niedziela</v>
      </c>
      <c r="D276">
        <f>WEEKNUM(Tabela1[[#This Row],[Data]],2)</f>
        <v>10</v>
      </c>
      <c r="E276" t="str">
        <f>IF(WEEKDAY(Tabela1[[#This Row],[Data]],2)&gt;5,"TAK","NIE")</f>
        <v>TAK</v>
      </c>
      <c r="F276" s="2">
        <f>IF(Tabela1[[#This Row],[Wypadki drogowe]]=0,0,Tabela1[[#This Row],[Zabici w wypadkach]]/Tabela1[[#This Row],[Wypadki drogowe]])</f>
        <v>0.15555555555555556</v>
      </c>
      <c r="G276" s="40">
        <f>(Tabela1[[#This Row],[Zatrzymani na gorącym uczynku]]/Tabela1[[#This Row],[Interwencje]])*1000</f>
        <v>36.922861346598474</v>
      </c>
      <c r="H276">
        <v>14273</v>
      </c>
      <c r="I276">
        <v>527</v>
      </c>
      <c r="J276">
        <v>243</v>
      </c>
      <c r="K276">
        <v>284</v>
      </c>
      <c r="L276">
        <v>45</v>
      </c>
      <c r="M276">
        <v>7</v>
      </c>
      <c r="N276">
        <v>44</v>
      </c>
    </row>
    <row r="277" spans="1:14" x14ac:dyDescent="0.3">
      <c r="A277" s="1">
        <v>45724</v>
      </c>
      <c r="B277" s="1" t="str">
        <f>TEXT(Tabela1[[#This Row],[Data]],"mmmm")</f>
        <v>marzec</v>
      </c>
      <c r="C277" s="1" t="str">
        <f>TEXT(Tabela1[[#This Row],[Data]],"dddd")</f>
        <v>sobota</v>
      </c>
      <c r="D277">
        <f>WEEKNUM(Tabela1[[#This Row],[Data]],2)</f>
        <v>10</v>
      </c>
      <c r="E277" t="str">
        <f>IF(WEEKDAY(Tabela1[[#This Row],[Data]],2)&gt;5,"TAK","NIE")</f>
        <v>TAK</v>
      </c>
      <c r="F277" s="2">
        <f>IF(Tabela1[[#This Row],[Wypadki drogowe]]=0,0,Tabela1[[#This Row],[Zabici w wypadkach]]/Tabela1[[#This Row],[Wypadki drogowe]])</f>
        <v>0.11864406779661017</v>
      </c>
      <c r="G277" s="40">
        <f>(Tabela1[[#This Row],[Zatrzymani na gorącym uczynku]]/Tabela1[[#This Row],[Interwencje]])*1000</f>
        <v>34.352649659289298</v>
      </c>
      <c r="H277">
        <v>17757</v>
      </c>
      <c r="I277">
        <v>610</v>
      </c>
      <c r="J277">
        <v>248</v>
      </c>
      <c r="K277">
        <v>314</v>
      </c>
      <c r="L277">
        <v>59</v>
      </c>
      <c r="M277">
        <v>7</v>
      </c>
      <c r="N277">
        <v>65</v>
      </c>
    </row>
    <row r="278" spans="1:14" x14ac:dyDescent="0.3">
      <c r="A278" s="1">
        <v>45723</v>
      </c>
      <c r="B278" s="1" t="str">
        <f>TEXT(Tabela1[[#This Row],[Data]],"mmmm")</f>
        <v>marzec</v>
      </c>
      <c r="C278" s="1" t="str">
        <f>TEXT(Tabela1[[#This Row],[Data]],"dddd")</f>
        <v>piątek</v>
      </c>
      <c r="D278">
        <f>WEEKNUM(Tabela1[[#This Row],[Data]],2)</f>
        <v>10</v>
      </c>
      <c r="E278" t="str">
        <f>IF(WEEKDAY(Tabela1[[#This Row],[Data]],2)&gt;5,"TAK","NIE")</f>
        <v>NIE</v>
      </c>
      <c r="F278" s="2">
        <f>IF(Tabela1[[#This Row],[Wypadki drogowe]]=0,0,Tabela1[[#This Row],[Zabici w wypadkach]]/Tabela1[[#This Row],[Wypadki drogowe]])</f>
        <v>4.1095890410958902E-2</v>
      </c>
      <c r="G278" s="40">
        <f>(Tabela1[[#This Row],[Zatrzymani na gorącym uczynku]]/Tabela1[[#This Row],[Interwencje]])*1000</f>
        <v>30.907735535294453</v>
      </c>
      <c r="H278">
        <v>17439</v>
      </c>
      <c r="I278">
        <v>539</v>
      </c>
      <c r="J278">
        <v>404</v>
      </c>
      <c r="K278">
        <v>217</v>
      </c>
      <c r="L278">
        <v>73</v>
      </c>
      <c r="M278">
        <v>3</v>
      </c>
      <c r="N278">
        <v>78</v>
      </c>
    </row>
    <row r="279" spans="1:14" x14ac:dyDescent="0.3">
      <c r="A279" s="1">
        <v>45722</v>
      </c>
      <c r="B279" s="1" t="str">
        <f>TEXT(Tabela1[[#This Row],[Data]],"mmmm")</f>
        <v>marzec</v>
      </c>
      <c r="C279" s="1" t="str">
        <f>TEXT(Tabela1[[#This Row],[Data]],"dddd")</f>
        <v>czwartek</v>
      </c>
      <c r="D279">
        <f>WEEKNUM(Tabela1[[#This Row],[Data]],2)</f>
        <v>10</v>
      </c>
      <c r="E279" t="str">
        <f>IF(WEEKDAY(Tabela1[[#This Row],[Data]],2)&gt;5,"TAK","NIE")</f>
        <v>NIE</v>
      </c>
      <c r="F279" s="2">
        <f>IF(Tabela1[[#This Row],[Wypadki drogowe]]=0,0,Tabela1[[#This Row],[Zabici w wypadkach]]/Tabela1[[#This Row],[Wypadki drogowe]])</f>
        <v>0.11290322580645161</v>
      </c>
      <c r="G279" s="40">
        <f>(Tabela1[[#This Row],[Zatrzymani na gorącym uczynku]]/Tabela1[[#This Row],[Interwencje]])*1000</f>
        <v>33.542319749216304</v>
      </c>
      <c r="H279">
        <v>15950</v>
      </c>
      <c r="I279">
        <v>535</v>
      </c>
      <c r="J279">
        <v>431</v>
      </c>
      <c r="K279">
        <v>211</v>
      </c>
      <c r="L279">
        <v>62</v>
      </c>
      <c r="M279">
        <v>7</v>
      </c>
      <c r="N279">
        <v>72</v>
      </c>
    </row>
    <row r="280" spans="1:14" x14ac:dyDescent="0.3">
      <c r="A280" s="1">
        <v>45721</v>
      </c>
      <c r="B280" s="1" t="str">
        <f>TEXT(Tabela1[[#This Row],[Data]],"mmmm")</f>
        <v>marzec</v>
      </c>
      <c r="C280" s="1" t="str">
        <f>TEXT(Tabela1[[#This Row],[Data]],"dddd")</f>
        <v>środa</v>
      </c>
      <c r="D280">
        <f>WEEKNUM(Tabela1[[#This Row],[Data]],2)</f>
        <v>10</v>
      </c>
      <c r="E280" t="str">
        <f>IF(WEEKDAY(Tabela1[[#This Row],[Data]],2)&gt;5,"TAK","NIE")</f>
        <v>NIE</v>
      </c>
      <c r="F280" s="2">
        <f>IF(Tabela1[[#This Row],[Wypadki drogowe]]=0,0,Tabela1[[#This Row],[Zabici w wypadkach]]/Tabela1[[#This Row],[Wypadki drogowe]])</f>
        <v>4.6511627906976744E-2</v>
      </c>
      <c r="G280" s="40">
        <f>(Tabela1[[#This Row],[Zatrzymani na gorącym uczynku]]/Tabela1[[#This Row],[Interwencje]])*1000</f>
        <v>39.219512195121951</v>
      </c>
      <c r="H280">
        <v>15375</v>
      </c>
      <c r="I280">
        <v>603</v>
      </c>
      <c r="J280">
        <v>430</v>
      </c>
      <c r="K280">
        <v>252</v>
      </c>
      <c r="L280">
        <v>43</v>
      </c>
      <c r="M280">
        <v>2</v>
      </c>
      <c r="N280">
        <v>46</v>
      </c>
    </row>
    <row r="281" spans="1:14" x14ac:dyDescent="0.3">
      <c r="A281" s="1">
        <v>45720</v>
      </c>
      <c r="B281" s="1" t="str">
        <f>TEXT(Tabela1[[#This Row],[Data]],"mmmm")</f>
        <v>marzec</v>
      </c>
      <c r="C281" s="1" t="str">
        <f>TEXT(Tabela1[[#This Row],[Data]],"dddd")</f>
        <v>wtorek</v>
      </c>
      <c r="D281">
        <f>WEEKNUM(Tabela1[[#This Row],[Data]],2)</f>
        <v>10</v>
      </c>
      <c r="E281" t="str">
        <f>IF(WEEKDAY(Tabela1[[#This Row],[Data]],2)&gt;5,"TAK","NIE")</f>
        <v>NIE</v>
      </c>
      <c r="F281" s="2">
        <f>IF(Tabela1[[#This Row],[Wypadki drogowe]]=0,0,Tabela1[[#This Row],[Zabici w wypadkach]]/Tabela1[[#This Row],[Wypadki drogowe]])</f>
        <v>0.1111111111111111</v>
      </c>
      <c r="G281" s="40">
        <f>(Tabela1[[#This Row],[Zatrzymani na gorącym uczynku]]/Tabela1[[#This Row],[Interwencje]])*1000</f>
        <v>36.753040719196193</v>
      </c>
      <c r="H281">
        <v>15128</v>
      </c>
      <c r="I281">
        <v>556</v>
      </c>
      <c r="J281">
        <v>462</v>
      </c>
      <c r="K281">
        <v>236</v>
      </c>
      <c r="L281">
        <v>27</v>
      </c>
      <c r="M281">
        <v>3</v>
      </c>
      <c r="N281">
        <v>29</v>
      </c>
    </row>
    <row r="282" spans="1:14" x14ac:dyDescent="0.3">
      <c r="A282" s="1">
        <v>45719</v>
      </c>
      <c r="B282" s="1" t="str">
        <f>TEXT(Tabela1[[#This Row],[Data]],"mmmm")</f>
        <v>marzec</v>
      </c>
      <c r="C282" s="1" t="str">
        <f>TEXT(Tabela1[[#This Row],[Data]],"dddd")</f>
        <v>poniedziałek</v>
      </c>
      <c r="D282">
        <f>WEEKNUM(Tabela1[[#This Row],[Data]],2)</f>
        <v>10</v>
      </c>
      <c r="E282" t="str">
        <f>IF(WEEKDAY(Tabela1[[#This Row],[Data]],2)&gt;5,"TAK","NIE")</f>
        <v>NIE</v>
      </c>
      <c r="F282" s="2">
        <f>IF(Tabela1[[#This Row],[Wypadki drogowe]]=0,0,Tabela1[[#This Row],[Zabici w wypadkach]]/Tabela1[[#This Row],[Wypadki drogowe]])</f>
        <v>0.13513513513513514</v>
      </c>
      <c r="G282" s="40">
        <f>(Tabela1[[#This Row],[Zatrzymani na gorącym uczynku]]/Tabela1[[#This Row],[Interwencje]])*1000</f>
        <v>47.307430129516021</v>
      </c>
      <c r="H282">
        <v>14670</v>
      </c>
      <c r="I282">
        <v>694</v>
      </c>
      <c r="J282">
        <v>364</v>
      </c>
      <c r="K282">
        <v>393</v>
      </c>
      <c r="L282">
        <v>37</v>
      </c>
      <c r="M282">
        <v>5</v>
      </c>
      <c r="N282">
        <v>45</v>
      </c>
    </row>
    <row r="283" spans="1:14" x14ac:dyDescent="0.3">
      <c r="A283" s="1">
        <v>45718</v>
      </c>
      <c r="B283" s="1" t="str">
        <f>TEXT(Tabela1[[#This Row],[Data]],"mmmm")</f>
        <v>marzec</v>
      </c>
      <c r="C283" s="1" t="str">
        <f>TEXT(Tabela1[[#This Row],[Data]],"dddd")</f>
        <v>niedziela</v>
      </c>
      <c r="D283">
        <f>WEEKNUM(Tabela1[[#This Row],[Data]],2)</f>
        <v>9</v>
      </c>
      <c r="E283" t="str">
        <f>IF(WEEKDAY(Tabela1[[#This Row],[Data]],2)&gt;5,"TAK","NIE")</f>
        <v>TAK</v>
      </c>
      <c r="F283" s="2">
        <f>IF(Tabela1[[#This Row],[Wypadki drogowe]]=0,0,Tabela1[[#This Row],[Zabici w wypadkach]]/Tabela1[[#This Row],[Wypadki drogowe]])</f>
        <v>0.19047619047619047</v>
      </c>
      <c r="G283" s="40">
        <f>(Tabela1[[#This Row],[Zatrzymani na gorącym uczynku]]/Tabela1[[#This Row],[Interwencje]])*1000</f>
        <v>45.868493608488599</v>
      </c>
      <c r="H283">
        <v>11969</v>
      </c>
      <c r="I283">
        <v>549</v>
      </c>
      <c r="J283">
        <v>232</v>
      </c>
      <c r="K283">
        <v>287</v>
      </c>
      <c r="L283">
        <v>21</v>
      </c>
      <c r="M283">
        <v>4</v>
      </c>
      <c r="N283">
        <v>22</v>
      </c>
    </row>
    <row r="284" spans="1:14" x14ac:dyDescent="0.3">
      <c r="A284" s="1">
        <v>45717</v>
      </c>
      <c r="B284" s="1" t="str">
        <f>TEXT(Tabela1[[#This Row],[Data]],"mmmm")</f>
        <v>marzec</v>
      </c>
      <c r="C284" s="1" t="str">
        <f>TEXT(Tabela1[[#This Row],[Data]],"dddd")</f>
        <v>sobota</v>
      </c>
      <c r="D284">
        <f>WEEKNUM(Tabela1[[#This Row],[Data]],2)</f>
        <v>9</v>
      </c>
      <c r="E284" t="str">
        <f>IF(WEEKDAY(Tabela1[[#This Row],[Data]],2)&gt;5,"TAK","NIE")</f>
        <v>TAK</v>
      </c>
      <c r="F284" s="2">
        <f>IF(Tabela1[[#This Row],[Wypadki drogowe]]=0,0,Tabela1[[#This Row],[Zabici w wypadkach]]/Tabela1[[#This Row],[Wypadki drogowe]])</f>
        <v>0.11627906976744186</v>
      </c>
      <c r="G284" s="40">
        <f>(Tabela1[[#This Row],[Zatrzymani na gorącym uczynku]]/Tabela1[[#This Row],[Interwencje]])*1000</f>
        <v>35.835023664638271</v>
      </c>
      <c r="H284">
        <v>14790</v>
      </c>
      <c r="I284">
        <v>530</v>
      </c>
      <c r="J284">
        <v>250</v>
      </c>
      <c r="K284">
        <v>221</v>
      </c>
      <c r="L284">
        <v>43</v>
      </c>
      <c r="M284">
        <v>5</v>
      </c>
      <c r="N284">
        <v>58</v>
      </c>
    </row>
    <row r="285" spans="1:14" x14ac:dyDescent="0.3">
      <c r="A285" s="1">
        <v>45716</v>
      </c>
      <c r="B285" s="1" t="str">
        <f>TEXT(Tabela1[[#This Row],[Data]],"mmmm")</f>
        <v>luty</v>
      </c>
      <c r="C285" s="1" t="str">
        <f>TEXT(Tabela1[[#This Row],[Data]],"dddd")</f>
        <v>piątek</v>
      </c>
      <c r="D285">
        <f>WEEKNUM(Tabela1[[#This Row],[Data]],2)</f>
        <v>9</v>
      </c>
      <c r="E285" t="str">
        <f>IF(WEEKDAY(Tabela1[[#This Row],[Data]],2)&gt;5,"TAK","NIE")</f>
        <v>NIE</v>
      </c>
      <c r="F285" s="2">
        <f>IF(Tabela1[[#This Row],[Wypadki drogowe]]=0,0,Tabela1[[#This Row],[Zabici w wypadkach]]/Tabela1[[#This Row],[Wypadki drogowe]])</f>
        <v>0</v>
      </c>
      <c r="G285" s="40">
        <f>(Tabela1[[#This Row],[Zatrzymani na gorącym uczynku]]/Tabela1[[#This Row],[Interwencje]])*1000</f>
        <v>36.418535863938871</v>
      </c>
      <c r="H285">
        <v>16228</v>
      </c>
      <c r="I285">
        <v>591</v>
      </c>
      <c r="J285">
        <v>439</v>
      </c>
      <c r="K285">
        <v>277</v>
      </c>
      <c r="L285">
        <v>39</v>
      </c>
      <c r="M285">
        <v>0</v>
      </c>
      <c r="N285">
        <v>47</v>
      </c>
    </row>
    <row r="286" spans="1:14" x14ac:dyDescent="0.3">
      <c r="A286" s="1">
        <v>45715</v>
      </c>
      <c r="B286" s="1" t="str">
        <f>TEXT(Tabela1[[#This Row],[Data]],"mmmm")</f>
        <v>luty</v>
      </c>
      <c r="C286" s="1" t="str">
        <f>TEXT(Tabela1[[#This Row],[Data]],"dddd")</f>
        <v>czwartek</v>
      </c>
      <c r="D286">
        <f>WEEKNUM(Tabela1[[#This Row],[Data]],2)</f>
        <v>9</v>
      </c>
      <c r="E286" t="str">
        <f>IF(WEEKDAY(Tabela1[[#This Row],[Data]],2)&gt;5,"TAK","NIE")</f>
        <v>NIE</v>
      </c>
      <c r="F286" s="2">
        <f>IF(Tabela1[[#This Row],[Wypadki drogowe]]=0,0,Tabela1[[#This Row],[Zabici w wypadkach]]/Tabela1[[#This Row],[Wypadki drogowe]])</f>
        <v>5.8823529411764705E-2</v>
      </c>
      <c r="G286" s="40">
        <f>(Tabela1[[#This Row],[Zatrzymani na gorącym uczynku]]/Tabela1[[#This Row],[Interwencje]])*1000</f>
        <v>39.125508231687</v>
      </c>
      <c r="H286">
        <v>15003</v>
      </c>
      <c r="I286">
        <v>587</v>
      </c>
      <c r="J286">
        <v>466</v>
      </c>
      <c r="K286">
        <v>224</v>
      </c>
      <c r="L286">
        <v>51</v>
      </c>
      <c r="M286">
        <v>3</v>
      </c>
      <c r="N286">
        <v>57</v>
      </c>
    </row>
    <row r="287" spans="1:14" x14ac:dyDescent="0.3">
      <c r="A287" s="1">
        <v>45714</v>
      </c>
      <c r="B287" s="1" t="str">
        <f>TEXT(Tabela1[[#This Row],[Data]],"mmmm")</f>
        <v>luty</v>
      </c>
      <c r="C287" s="1" t="str">
        <f>TEXT(Tabela1[[#This Row],[Data]],"dddd")</f>
        <v>środa</v>
      </c>
      <c r="D287">
        <f>WEEKNUM(Tabela1[[#This Row],[Data]],2)</f>
        <v>9</v>
      </c>
      <c r="E287" t="str">
        <f>IF(WEEKDAY(Tabela1[[#This Row],[Data]],2)&gt;5,"TAK","NIE")</f>
        <v>NIE</v>
      </c>
      <c r="F287" s="2">
        <f>IF(Tabela1[[#This Row],[Wypadki drogowe]]=0,0,Tabela1[[#This Row],[Zabici w wypadkach]]/Tabela1[[#This Row],[Wypadki drogowe]])</f>
        <v>0.1</v>
      </c>
      <c r="G287" s="40">
        <f>(Tabela1[[#This Row],[Zatrzymani na gorącym uczynku]]/Tabela1[[#This Row],[Interwencje]])*1000</f>
        <v>36.837913181999198</v>
      </c>
      <c r="H287">
        <v>15066</v>
      </c>
      <c r="I287">
        <v>555</v>
      </c>
      <c r="J287">
        <v>454</v>
      </c>
      <c r="K287">
        <v>202</v>
      </c>
      <c r="L287">
        <v>40</v>
      </c>
      <c r="M287">
        <v>4</v>
      </c>
      <c r="N287">
        <v>47</v>
      </c>
    </row>
    <row r="288" spans="1:14" x14ac:dyDescent="0.3">
      <c r="A288" s="1">
        <v>45713</v>
      </c>
      <c r="B288" s="1" t="str">
        <f>TEXT(Tabela1[[#This Row],[Data]],"mmmm")</f>
        <v>luty</v>
      </c>
      <c r="C288" s="1" t="str">
        <f>TEXT(Tabela1[[#This Row],[Data]],"dddd")</f>
        <v>wtorek</v>
      </c>
      <c r="D288">
        <f>WEEKNUM(Tabela1[[#This Row],[Data]],2)</f>
        <v>9</v>
      </c>
      <c r="E288" t="str">
        <f>IF(WEEKDAY(Tabela1[[#This Row],[Data]],2)&gt;5,"TAK","NIE")</f>
        <v>NIE</v>
      </c>
      <c r="F288" s="2">
        <f>IF(Tabela1[[#This Row],[Wypadki drogowe]]=0,0,Tabela1[[#This Row],[Zabici w wypadkach]]/Tabela1[[#This Row],[Wypadki drogowe]])</f>
        <v>9.5238095238095233E-2</v>
      </c>
      <c r="G288" s="40">
        <f>(Tabela1[[#This Row],[Zatrzymani na gorącym uczynku]]/Tabela1[[#This Row],[Interwencje]])*1000</f>
        <v>34.575722855024601</v>
      </c>
      <c r="H288">
        <v>14837</v>
      </c>
      <c r="I288">
        <v>513</v>
      </c>
      <c r="J288">
        <v>436</v>
      </c>
      <c r="K288">
        <v>194</v>
      </c>
      <c r="L288">
        <v>42</v>
      </c>
      <c r="M288">
        <v>4</v>
      </c>
      <c r="N288">
        <v>40</v>
      </c>
    </row>
    <row r="289" spans="1:14" x14ac:dyDescent="0.3">
      <c r="A289" s="1">
        <v>45712</v>
      </c>
      <c r="B289" s="1" t="str">
        <f>TEXT(Tabela1[[#This Row],[Data]],"mmmm")</f>
        <v>luty</v>
      </c>
      <c r="C289" s="1" t="str">
        <f>TEXT(Tabela1[[#This Row],[Data]],"dddd")</f>
        <v>poniedziałek</v>
      </c>
      <c r="D289">
        <f>WEEKNUM(Tabela1[[#This Row],[Data]],2)</f>
        <v>9</v>
      </c>
      <c r="E289" t="str">
        <f>IF(WEEKDAY(Tabela1[[#This Row],[Data]],2)&gt;5,"TAK","NIE")</f>
        <v>NIE</v>
      </c>
      <c r="F289" s="2">
        <f>IF(Tabela1[[#This Row],[Wypadki drogowe]]=0,0,Tabela1[[#This Row],[Zabici w wypadkach]]/Tabela1[[#This Row],[Wypadki drogowe]])</f>
        <v>0.20408163265306123</v>
      </c>
      <c r="G289" s="40">
        <f>(Tabela1[[#This Row],[Zatrzymani na gorącym uczynku]]/Tabela1[[#This Row],[Interwencje]])*1000</f>
        <v>38.820605816374503</v>
      </c>
      <c r="H289">
        <v>14889</v>
      </c>
      <c r="I289">
        <v>578</v>
      </c>
      <c r="J289">
        <v>376</v>
      </c>
      <c r="K289">
        <v>287</v>
      </c>
      <c r="L289">
        <v>49</v>
      </c>
      <c r="M289">
        <v>10</v>
      </c>
      <c r="N289">
        <v>61</v>
      </c>
    </row>
    <row r="290" spans="1:14" x14ac:dyDescent="0.3">
      <c r="A290" s="1">
        <v>45711</v>
      </c>
      <c r="B290" s="1" t="str">
        <f>TEXT(Tabela1[[#This Row],[Data]],"mmmm")</f>
        <v>luty</v>
      </c>
      <c r="C290" s="1" t="str">
        <f>TEXT(Tabela1[[#This Row],[Data]],"dddd")</f>
        <v>niedziela</v>
      </c>
      <c r="D290">
        <f>WEEKNUM(Tabela1[[#This Row],[Data]],2)</f>
        <v>8</v>
      </c>
      <c r="E290" t="str">
        <f>IF(WEEKDAY(Tabela1[[#This Row],[Data]],2)&gt;5,"TAK","NIE")</f>
        <v>TAK</v>
      </c>
      <c r="F290" s="2">
        <f>IF(Tabela1[[#This Row],[Wypadki drogowe]]=0,0,Tabela1[[#This Row],[Zabici w wypadkach]]/Tabela1[[#This Row],[Wypadki drogowe]])</f>
        <v>0.1111111111111111</v>
      </c>
      <c r="G290" s="40">
        <f>(Tabela1[[#This Row],[Zatrzymani na gorącym uczynku]]/Tabela1[[#This Row],[Interwencje]])*1000</f>
        <v>39.330279576686145</v>
      </c>
      <c r="H290">
        <v>12662</v>
      </c>
      <c r="I290">
        <v>498</v>
      </c>
      <c r="J290">
        <v>194</v>
      </c>
      <c r="K290">
        <v>246</v>
      </c>
      <c r="L290">
        <v>18</v>
      </c>
      <c r="M290">
        <v>2</v>
      </c>
      <c r="N290">
        <v>20</v>
      </c>
    </row>
    <row r="291" spans="1:14" x14ac:dyDescent="0.3">
      <c r="A291" s="1">
        <v>45710</v>
      </c>
      <c r="B291" s="1" t="str">
        <f>TEXT(Tabela1[[#This Row],[Data]],"mmmm")</f>
        <v>luty</v>
      </c>
      <c r="C291" s="1" t="str">
        <f>TEXT(Tabela1[[#This Row],[Data]],"dddd")</f>
        <v>sobota</v>
      </c>
      <c r="D291">
        <f>WEEKNUM(Tabela1[[#This Row],[Data]],2)</f>
        <v>8</v>
      </c>
      <c r="E291" t="str">
        <f>IF(WEEKDAY(Tabela1[[#This Row],[Data]],2)&gt;5,"TAK","NIE")</f>
        <v>TAK</v>
      </c>
      <c r="F291" s="2">
        <f>IF(Tabela1[[#This Row],[Wypadki drogowe]]=0,0,Tabela1[[#This Row],[Zabici w wypadkach]]/Tabela1[[#This Row],[Wypadki drogowe]])</f>
        <v>6.8965517241379309E-2</v>
      </c>
      <c r="G291" s="40">
        <f>(Tabela1[[#This Row],[Zatrzymani na gorącym uczynku]]/Tabela1[[#This Row],[Interwencje]])*1000</f>
        <v>30.512904279647174</v>
      </c>
      <c r="H291">
        <v>15305</v>
      </c>
      <c r="I291">
        <v>467</v>
      </c>
      <c r="J291">
        <v>259</v>
      </c>
      <c r="K291">
        <v>216</v>
      </c>
      <c r="L291">
        <v>29</v>
      </c>
      <c r="M291">
        <v>2</v>
      </c>
      <c r="N291">
        <v>37</v>
      </c>
    </row>
    <row r="292" spans="1:14" x14ac:dyDescent="0.3">
      <c r="A292" s="1">
        <v>45709</v>
      </c>
      <c r="B292" s="1" t="str">
        <f>TEXT(Tabela1[[#This Row],[Data]],"mmmm")</f>
        <v>luty</v>
      </c>
      <c r="C292" s="1" t="str">
        <f>TEXT(Tabela1[[#This Row],[Data]],"dddd")</f>
        <v>piątek</v>
      </c>
      <c r="D292">
        <f>WEEKNUM(Tabela1[[#This Row],[Data]],2)</f>
        <v>8</v>
      </c>
      <c r="E292" t="str">
        <f>IF(WEEKDAY(Tabela1[[#This Row],[Data]],2)&gt;5,"TAK","NIE")</f>
        <v>NIE</v>
      </c>
      <c r="F292" s="2">
        <f>IF(Tabela1[[#This Row],[Wypadki drogowe]]=0,0,Tabela1[[#This Row],[Zabici w wypadkach]]/Tabela1[[#This Row],[Wypadki drogowe]])</f>
        <v>2.6315789473684209E-2</v>
      </c>
      <c r="G292" s="40">
        <f>(Tabela1[[#This Row],[Zatrzymani na gorącym uczynku]]/Tabela1[[#This Row],[Interwencje]])*1000</f>
        <v>37.350789372352715</v>
      </c>
      <c r="H292">
        <v>15582</v>
      </c>
      <c r="I292">
        <v>582</v>
      </c>
      <c r="J292">
        <v>439</v>
      </c>
      <c r="K292">
        <v>198</v>
      </c>
      <c r="L292">
        <v>38</v>
      </c>
      <c r="M292">
        <v>1</v>
      </c>
      <c r="N292">
        <v>47</v>
      </c>
    </row>
    <row r="293" spans="1:14" x14ac:dyDescent="0.3">
      <c r="A293" s="1">
        <v>45708</v>
      </c>
      <c r="B293" s="1" t="str">
        <f>TEXT(Tabela1[[#This Row],[Data]],"mmmm")</f>
        <v>luty</v>
      </c>
      <c r="C293" s="1" t="str">
        <f>TEXT(Tabela1[[#This Row],[Data]],"dddd")</f>
        <v>czwartek</v>
      </c>
      <c r="D293">
        <f>WEEKNUM(Tabela1[[#This Row],[Data]],2)</f>
        <v>8</v>
      </c>
      <c r="E293" t="str">
        <f>IF(WEEKDAY(Tabela1[[#This Row],[Data]],2)&gt;5,"TAK","NIE")</f>
        <v>NIE</v>
      </c>
      <c r="F293" s="2">
        <f>IF(Tabela1[[#This Row],[Wypadki drogowe]]=0,0,Tabela1[[#This Row],[Zabici w wypadkach]]/Tabela1[[#This Row],[Wypadki drogowe]])</f>
        <v>2.1739130434782608E-2</v>
      </c>
      <c r="G293" s="40">
        <f>(Tabela1[[#This Row],[Zatrzymani na gorącym uczynku]]/Tabela1[[#This Row],[Interwencje]])*1000</f>
        <v>33.172746042670333</v>
      </c>
      <c r="H293">
        <v>14530</v>
      </c>
      <c r="I293">
        <v>482</v>
      </c>
      <c r="J293">
        <v>452</v>
      </c>
      <c r="K293">
        <v>176</v>
      </c>
      <c r="L293">
        <v>46</v>
      </c>
      <c r="M293">
        <v>1</v>
      </c>
      <c r="N293">
        <v>56</v>
      </c>
    </row>
    <row r="294" spans="1:14" x14ac:dyDescent="0.3">
      <c r="A294" s="1">
        <v>45707</v>
      </c>
      <c r="B294" s="1" t="str">
        <f>TEXT(Tabela1[[#This Row],[Data]],"mmmm")</f>
        <v>luty</v>
      </c>
      <c r="C294" s="1" t="str">
        <f>TEXT(Tabela1[[#This Row],[Data]],"dddd")</f>
        <v>środa</v>
      </c>
      <c r="D294">
        <f>WEEKNUM(Tabela1[[#This Row],[Data]],2)</f>
        <v>8</v>
      </c>
      <c r="E294" t="str">
        <f>IF(WEEKDAY(Tabela1[[#This Row],[Data]],2)&gt;5,"TAK","NIE")</f>
        <v>NIE</v>
      </c>
      <c r="F294" s="2">
        <f>IF(Tabela1[[#This Row],[Wypadki drogowe]]=0,0,Tabela1[[#This Row],[Zabici w wypadkach]]/Tabela1[[#This Row],[Wypadki drogowe]])</f>
        <v>5.5555555555555552E-2</v>
      </c>
      <c r="G294" s="40">
        <f>(Tabela1[[#This Row],[Zatrzymani na gorącym uczynku]]/Tabela1[[#This Row],[Interwencje]])*1000</f>
        <v>38.388367984780544</v>
      </c>
      <c r="H294">
        <v>14718</v>
      </c>
      <c r="I294">
        <v>565</v>
      </c>
      <c r="J294">
        <v>419</v>
      </c>
      <c r="K294">
        <v>170</v>
      </c>
      <c r="L294">
        <v>36</v>
      </c>
      <c r="M294">
        <v>2</v>
      </c>
      <c r="N294">
        <v>37</v>
      </c>
    </row>
    <row r="295" spans="1:14" x14ac:dyDescent="0.3">
      <c r="A295" s="1">
        <v>45706</v>
      </c>
      <c r="B295" s="1" t="str">
        <f>TEXT(Tabela1[[#This Row],[Data]],"mmmm")</f>
        <v>luty</v>
      </c>
      <c r="C295" s="1" t="str">
        <f>TEXT(Tabela1[[#This Row],[Data]],"dddd")</f>
        <v>wtorek</v>
      </c>
      <c r="D295">
        <f>WEEKNUM(Tabela1[[#This Row],[Data]],2)</f>
        <v>8</v>
      </c>
      <c r="E295" t="str">
        <f>IF(WEEKDAY(Tabela1[[#This Row],[Data]],2)&gt;5,"TAK","NIE")</f>
        <v>NIE</v>
      </c>
      <c r="F295" s="2">
        <f>IF(Tabela1[[#This Row],[Wypadki drogowe]]=0,0,Tabela1[[#This Row],[Zabici w wypadkach]]/Tabela1[[#This Row],[Wypadki drogowe]])</f>
        <v>0.12727272727272726</v>
      </c>
      <c r="G295" s="40">
        <f>(Tabela1[[#This Row],[Zatrzymani na gorącym uczynku]]/Tabela1[[#This Row],[Interwencje]])*1000</f>
        <v>33.155080213903744</v>
      </c>
      <c r="H295">
        <v>14025</v>
      </c>
      <c r="I295">
        <v>465</v>
      </c>
      <c r="J295">
        <v>414</v>
      </c>
      <c r="K295">
        <v>148</v>
      </c>
      <c r="L295">
        <v>55</v>
      </c>
      <c r="M295">
        <v>7</v>
      </c>
      <c r="N295">
        <v>66</v>
      </c>
    </row>
    <row r="296" spans="1:14" x14ac:dyDescent="0.3">
      <c r="A296" s="1">
        <v>45705</v>
      </c>
      <c r="B296" s="1" t="str">
        <f>TEXT(Tabela1[[#This Row],[Data]],"mmmm")</f>
        <v>luty</v>
      </c>
      <c r="C296" s="1" t="str">
        <f>TEXT(Tabela1[[#This Row],[Data]],"dddd")</f>
        <v>poniedziałek</v>
      </c>
      <c r="D296">
        <f>WEEKNUM(Tabela1[[#This Row],[Data]],2)</f>
        <v>8</v>
      </c>
      <c r="E296" t="str">
        <f>IF(WEEKDAY(Tabela1[[#This Row],[Data]],2)&gt;5,"TAK","NIE")</f>
        <v>NIE</v>
      </c>
      <c r="F296" s="2">
        <f>IF(Tabela1[[#This Row],[Wypadki drogowe]]=0,0,Tabela1[[#This Row],[Zabici w wypadkach]]/Tabela1[[#This Row],[Wypadki drogowe]])</f>
        <v>8.6956521739130432E-2</v>
      </c>
      <c r="G296" s="40">
        <f>(Tabela1[[#This Row],[Zatrzymani na gorącym uczynku]]/Tabela1[[#This Row],[Interwencje]])*1000</f>
        <v>36.167647684561373</v>
      </c>
      <c r="H296">
        <v>14101</v>
      </c>
      <c r="I296">
        <v>510</v>
      </c>
      <c r="J296">
        <v>353</v>
      </c>
      <c r="K296">
        <v>197</v>
      </c>
      <c r="L296">
        <v>46</v>
      </c>
      <c r="M296">
        <v>4</v>
      </c>
      <c r="N296">
        <v>50</v>
      </c>
    </row>
    <row r="297" spans="1:14" x14ac:dyDescent="0.3">
      <c r="A297" s="1">
        <v>45704</v>
      </c>
      <c r="B297" s="1" t="str">
        <f>TEXT(Tabela1[[#This Row],[Data]],"mmmm")</f>
        <v>luty</v>
      </c>
      <c r="C297" s="1" t="str">
        <f>TEXT(Tabela1[[#This Row],[Data]],"dddd")</f>
        <v>niedziela</v>
      </c>
      <c r="D297">
        <f>WEEKNUM(Tabela1[[#This Row],[Data]],2)</f>
        <v>7</v>
      </c>
      <c r="E297" t="str">
        <f>IF(WEEKDAY(Tabela1[[#This Row],[Data]],2)&gt;5,"TAK","NIE")</f>
        <v>TAK</v>
      </c>
      <c r="F297" s="2">
        <f>IF(Tabela1[[#This Row],[Wypadki drogowe]]=0,0,Tabela1[[#This Row],[Zabici w wypadkach]]/Tabela1[[#This Row],[Wypadki drogowe]])</f>
        <v>7.6923076923076927E-2</v>
      </c>
      <c r="G297" s="40">
        <f>(Tabela1[[#This Row],[Zatrzymani na gorącym uczynku]]/Tabela1[[#This Row],[Interwencje]])*1000</f>
        <v>40.013592727890583</v>
      </c>
      <c r="H297">
        <v>11771</v>
      </c>
      <c r="I297">
        <v>471</v>
      </c>
      <c r="J297">
        <v>207</v>
      </c>
      <c r="K297">
        <v>212</v>
      </c>
      <c r="L297">
        <v>26</v>
      </c>
      <c r="M297">
        <v>2</v>
      </c>
      <c r="N297">
        <v>37</v>
      </c>
    </row>
    <row r="298" spans="1:14" x14ac:dyDescent="0.3">
      <c r="A298" s="1">
        <v>45703</v>
      </c>
      <c r="B298" s="1" t="str">
        <f>TEXT(Tabela1[[#This Row],[Data]],"mmmm")</f>
        <v>luty</v>
      </c>
      <c r="C298" s="1" t="str">
        <f>TEXT(Tabela1[[#This Row],[Data]],"dddd")</f>
        <v>sobota</v>
      </c>
      <c r="D298">
        <f>WEEKNUM(Tabela1[[#This Row],[Data]],2)</f>
        <v>7</v>
      </c>
      <c r="E298" t="str">
        <f>IF(WEEKDAY(Tabela1[[#This Row],[Data]],2)&gt;5,"TAK","NIE")</f>
        <v>TAK</v>
      </c>
      <c r="F298" s="2">
        <f>IF(Tabela1[[#This Row],[Wypadki drogowe]]=0,0,Tabela1[[#This Row],[Zabici w wypadkach]]/Tabela1[[#This Row],[Wypadki drogowe]])</f>
        <v>0.05</v>
      </c>
      <c r="G298" s="40">
        <f>(Tabela1[[#This Row],[Zatrzymani na gorącym uczynku]]/Tabela1[[#This Row],[Interwencje]])*1000</f>
        <v>37.230388789668908</v>
      </c>
      <c r="H298">
        <v>14558</v>
      </c>
      <c r="I298">
        <v>542</v>
      </c>
      <c r="J298">
        <v>279</v>
      </c>
      <c r="K298">
        <v>259</v>
      </c>
      <c r="L298">
        <v>40</v>
      </c>
      <c r="M298">
        <v>2</v>
      </c>
      <c r="N298">
        <v>52</v>
      </c>
    </row>
    <row r="299" spans="1:14" x14ac:dyDescent="0.3">
      <c r="A299" s="1">
        <v>45702</v>
      </c>
      <c r="B299" s="1" t="str">
        <f>TEXT(Tabela1[[#This Row],[Data]],"mmmm")</f>
        <v>luty</v>
      </c>
      <c r="C299" s="1" t="str">
        <f>TEXT(Tabela1[[#This Row],[Data]],"dddd")</f>
        <v>piątek</v>
      </c>
      <c r="D299">
        <f>WEEKNUM(Tabela1[[#This Row],[Data]],2)</f>
        <v>7</v>
      </c>
      <c r="E299" t="str">
        <f>IF(WEEKDAY(Tabela1[[#This Row],[Data]],2)&gt;5,"TAK","NIE")</f>
        <v>NIE</v>
      </c>
      <c r="F299" s="2">
        <f>IF(Tabela1[[#This Row],[Wypadki drogowe]]=0,0,Tabela1[[#This Row],[Zabici w wypadkach]]/Tabela1[[#This Row],[Wypadki drogowe]])</f>
        <v>4.1666666666666664E-2</v>
      </c>
      <c r="G299" s="40">
        <f>(Tabela1[[#This Row],[Zatrzymani na gorącym uczynku]]/Tabela1[[#This Row],[Interwencje]])*1000</f>
        <v>30.445111277819457</v>
      </c>
      <c r="H299">
        <v>15996</v>
      </c>
      <c r="I299">
        <v>487</v>
      </c>
      <c r="J299">
        <v>800</v>
      </c>
      <c r="K299">
        <v>185</v>
      </c>
      <c r="L299">
        <v>48</v>
      </c>
      <c r="M299">
        <v>2</v>
      </c>
      <c r="N299">
        <v>55</v>
      </c>
    </row>
    <row r="300" spans="1:14" x14ac:dyDescent="0.3">
      <c r="A300" s="1">
        <v>45701</v>
      </c>
      <c r="B300" s="1" t="str">
        <f>TEXT(Tabela1[[#This Row],[Data]],"mmmm")</f>
        <v>luty</v>
      </c>
      <c r="C300" s="1" t="str">
        <f>TEXT(Tabela1[[#This Row],[Data]],"dddd")</f>
        <v>czwartek</v>
      </c>
      <c r="D300">
        <f>WEEKNUM(Tabela1[[#This Row],[Data]],2)</f>
        <v>7</v>
      </c>
      <c r="E300" t="str">
        <f>IF(WEEKDAY(Tabela1[[#This Row],[Data]],2)&gt;5,"TAK","NIE")</f>
        <v>NIE</v>
      </c>
      <c r="F300" s="2">
        <f>IF(Tabela1[[#This Row],[Wypadki drogowe]]=0,0,Tabela1[[#This Row],[Zabici w wypadkach]]/Tabela1[[#This Row],[Wypadki drogowe]])</f>
        <v>7.8947368421052627E-2</v>
      </c>
      <c r="G300" s="40">
        <f>(Tabela1[[#This Row],[Zatrzymani na gorącym uczynku]]/Tabela1[[#This Row],[Interwencje]])*1000</f>
        <v>33.236228813559322</v>
      </c>
      <c r="H300">
        <v>15104</v>
      </c>
      <c r="I300">
        <v>502</v>
      </c>
      <c r="J300">
        <v>926</v>
      </c>
      <c r="K300">
        <v>161</v>
      </c>
      <c r="L300">
        <v>38</v>
      </c>
      <c r="M300">
        <v>3</v>
      </c>
      <c r="N300">
        <v>45</v>
      </c>
    </row>
    <row r="301" spans="1:14" x14ac:dyDescent="0.3">
      <c r="A301" s="1">
        <v>45700</v>
      </c>
      <c r="B301" s="1" t="str">
        <f>TEXT(Tabela1[[#This Row],[Data]],"mmmm")</f>
        <v>luty</v>
      </c>
      <c r="C301" s="1" t="str">
        <f>TEXT(Tabela1[[#This Row],[Data]],"dddd")</f>
        <v>środa</v>
      </c>
      <c r="D301">
        <f>WEEKNUM(Tabela1[[#This Row],[Data]],2)</f>
        <v>7</v>
      </c>
      <c r="E301" t="str">
        <f>IF(WEEKDAY(Tabela1[[#This Row],[Data]],2)&gt;5,"TAK","NIE")</f>
        <v>NIE</v>
      </c>
      <c r="F301" s="2">
        <f>IF(Tabela1[[#This Row],[Wypadki drogowe]]=0,0,Tabela1[[#This Row],[Zabici w wypadkach]]/Tabela1[[#This Row],[Wypadki drogowe]])</f>
        <v>0.15384615384615385</v>
      </c>
      <c r="G301" s="40">
        <f>(Tabela1[[#This Row],[Zatrzymani na gorącym uczynku]]/Tabela1[[#This Row],[Interwencje]])*1000</f>
        <v>36.927728188885695</v>
      </c>
      <c r="H301">
        <v>13892</v>
      </c>
      <c r="I301">
        <v>513</v>
      </c>
      <c r="J301">
        <v>384</v>
      </c>
      <c r="K301">
        <v>205</v>
      </c>
      <c r="L301">
        <v>26</v>
      </c>
      <c r="M301">
        <v>4</v>
      </c>
      <c r="N301">
        <v>24</v>
      </c>
    </row>
    <row r="302" spans="1:14" x14ac:dyDescent="0.3">
      <c r="A302" s="1">
        <v>45699</v>
      </c>
      <c r="B302" s="1" t="str">
        <f>TEXT(Tabela1[[#This Row],[Data]],"mmmm")</f>
        <v>luty</v>
      </c>
      <c r="C302" s="1" t="str">
        <f>TEXT(Tabela1[[#This Row],[Data]],"dddd")</f>
        <v>wtorek</v>
      </c>
      <c r="D302">
        <f>WEEKNUM(Tabela1[[#This Row],[Data]],2)</f>
        <v>7</v>
      </c>
      <c r="E302" t="str">
        <f>IF(WEEKDAY(Tabela1[[#This Row],[Data]],2)&gt;5,"TAK","NIE")</f>
        <v>NIE</v>
      </c>
      <c r="F302" s="2">
        <f>IF(Tabela1[[#This Row],[Wypadki drogowe]]=0,0,Tabela1[[#This Row],[Zabici w wypadkach]]/Tabela1[[#This Row],[Wypadki drogowe]])</f>
        <v>0.14634146341463414</v>
      </c>
      <c r="G302" s="40">
        <f>(Tabela1[[#This Row],[Zatrzymani na gorącym uczynku]]/Tabela1[[#This Row],[Interwencje]])*1000</f>
        <v>39.341458199700661</v>
      </c>
      <c r="H302">
        <v>14031</v>
      </c>
      <c r="I302">
        <v>552</v>
      </c>
      <c r="J302">
        <v>403</v>
      </c>
      <c r="K302">
        <v>215</v>
      </c>
      <c r="L302">
        <v>41</v>
      </c>
      <c r="M302">
        <v>6</v>
      </c>
      <c r="N302">
        <v>49</v>
      </c>
    </row>
    <row r="303" spans="1:14" x14ac:dyDescent="0.3">
      <c r="A303" s="1">
        <v>45698</v>
      </c>
      <c r="B303" s="1" t="str">
        <f>TEXT(Tabela1[[#This Row],[Data]],"mmmm")</f>
        <v>luty</v>
      </c>
      <c r="C303" s="1" t="str">
        <f>TEXT(Tabela1[[#This Row],[Data]],"dddd")</f>
        <v>poniedziałek</v>
      </c>
      <c r="D303">
        <f>WEEKNUM(Tabela1[[#This Row],[Data]],2)</f>
        <v>7</v>
      </c>
      <c r="E303" t="str">
        <f>IF(WEEKDAY(Tabela1[[#This Row],[Data]],2)&gt;5,"TAK","NIE")</f>
        <v>NIE</v>
      </c>
      <c r="F303" s="2">
        <f>IF(Tabela1[[#This Row],[Wypadki drogowe]]=0,0,Tabela1[[#This Row],[Zabici w wypadkach]]/Tabela1[[#This Row],[Wypadki drogowe]])</f>
        <v>3.5714285714285712E-2</v>
      </c>
      <c r="G303" s="40">
        <f>(Tabela1[[#This Row],[Zatrzymani na gorącym uczynku]]/Tabela1[[#This Row],[Interwencje]])*1000</f>
        <v>40.417672964909784</v>
      </c>
      <c r="H303">
        <v>14078</v>
      </c>
      <c r="I303">
        <v>569</v>
      </c>
      <c r="J303">
        <v>361</v>
      </c>
      <c r="K303">
        <v>278</v>
      </c>
      <c r="L303">
        <v>56</v>
      </c>
      <c r="M303">
        <v>2</v>
      </c>
      <c r="N303">
        <v>63</v>
      </c>
    </row>
    <row r="304" spans="1:14" x14ac:dyDescent="0.3">
      <c r="A304" s="1">
        <v>45697</v>
      </c>
      <c r="B304" s="1" t="str">
        <f>TEXT(Tabela1[[#This Row],[Data]],"mmmm")</f>
        <v>luty</v>
      </c>
      <c r="C304" s="1" t="str">
        <f>TEXT(Tabela1[[#This Row],[Data]],"dddd")</f>
        <v>niedziela</v>
      </c>
      <c r="D304">
        <f>WEEKNUM(Tabela1[[#This Row],[Data]],2)</f>
        <v>6</v>
      </c>
      <c r="E304" t="str">
        <f>IF(WEEKDAY(Tabela1[[#This Row],[Data]],2)&gt;5,"TAK","NIE")</f>
        <v>TAK</v>
      </c>
      <c r="F304" s="2">
        <f>IF(Tabela1[[#This Row],[Wypadki drogowe]]=0,0,Tabela1[[#This Row],[Zabici w wypadkach]]/Tabela1[[#This Row],[Wypadki drogowe]])</f>
        <v>9.0909090909090912E-2</v>
      </c>
      <c r="G304" s="40">
        <f>(Tabela1[[#This Row],[Zatrzymani na gorącym uczynku]]/Tabela1[[#This Row],[Interwencje]])*1000</f>
        <v>46.134020618556704</v>
      </c>
      <c r="H304">
        <v>11640</v>
      </c>
      <c r="I304">
        <v>537</v>
      </c>
      <c r="J304">
        <v>250</v>
      </c>
      <c r="K304">
        <v>241</v>
      </c>
      <c r="L304">
        <v>22</v>
      </c>
      <c r="M304">
        <v>2</v>
      </c>
      <c r="N304">
        <v>31</v>
      </c>
    </row>
    <row r="305" spans="1:14" x14ac:dyDescent="0.3">
      <c r="A305" s="1">
        <v>45696</v>
      </c>
      <c r="B305" s="1" t="str">
        <f>TEXT(Tabela1[[#This Row],[Data]],"mmmm")</f>
        <v>luty</v>
      </c>
      <c r="C305" s="1" t="str">
        <f>TEXT(Tabela1[[#This Row],[Data]],"dddd")</f>
        <v>sobota</v>
      </c>
      <c r="D305">
        <f>WEEKNUM(Tabela1[[#This Row],[Data]],2)</f>
        <v>6</v>
      </c>
      <c r="E305" t="str">
        <f>IF(WEEKDAY(Tabela1[[#This Row],[Data]],2)&gt;5,"TAK","NIE")</f>
        <v>TAK</v>
      </c>
      <c r="F305" s="2">
        <f>IF(Tabela1[[#This Row],[Wypadki drogowe]]=0,0,Tabela1[[#This Row],[Zabici w wypadkach]]/Tabela1[[#This Row],[Wypadki drogowe]])</f>
        <v>0.04</v>
      </c>
      <c r="G305" s="40">
        <f>(Tabela1[[#This Row],[Zatrzymani na gorącym uczynku]]/Tabela1[[#This Row],[Interwencje]])*1000</f>
        <v>35.2949254961203</v>
      </c>
      <c r="H305">
        <v>14563</v>
      </c>
      <c r="I305">
        <v>514</v>
      </c>
      <c r="J305">
        <v>267</v>
      </c>
      <c r="K305">
        <v>252</v>
      </c>
      <c r="L305">
        <v>25</v>
      </c>
      <c r="M305">
        <v>1</v>
      </c>
      <c r="N305">
        <v>27</v>
      </c>
    </row>
    <row r="306" spans="1:14" x14ac:dyDescent="0.3">
      <c r="A306" s="1">
        <v>45695</v>
      </c>
      <c r="B306" s="1" t="str">
        <f>TEXT(Tabela1[[#This Row],[Data]],"mmmm")</f>
        <v>luty</v>
      </c>
      <c r="C306" s="1" t="str">
        <f>TEXT(Tabela1[[#This Row],[Data]],"dddd")</f>
        <v>piątek</v>
      </c>
      <c r="D306">
        <f>WEEKNUM(Tabela1[[#This Row],[Data]],2)</f>
        <v>6</v>
      </c>
      <c r="E306" t="str">
        <f>IF(WEEKDAY(Tabela1[[#This Row],[Data]],2)&gt;5,"TAK","NIE")</f>
        <v>NIE</v>
      </c>
      <c r="F306" s="2">
        <f>IF(Tabela1[[#This Row],[Wypadki drogowe]]=0,0,Tabela1[[#This Row],[Zabici w wypadkach]]/Tabela1[[#This Row],[Wypadki drogowe]])</f>
        <v>5.4054054054054057E-2</v>
      </c>
      <c r="G306" s="40">
        <f>(Tabela1[[#This Row],[Zatrzymani na gorącym uczynku]]/Tabela1[[#This Row],[Interwencje]])*1000</f>
        <v>36.618567928124151</v>
      </c>
      <c r="H306">
        <v>14692</v>
      </c>
      <c r="I306">
        <v>538</v>
      </c>
      <c r="J306">
        <v>475</v>
      </c>
      <c r="K306">
        <v>200</v>
      </c>
      <c r="L306">
        <v>37</v>
      </c>
      <c r="M306">
        <v>2</v>
      </c>
      <c r="N306">
        <v>56</v>
      </c>
    </row>
    <row r="307" spans="1:14" x14ac:dyDescent="0.3">
      <c r="A307" s="1">
        <v>45694</v>
      </c>
      <c r="B307" s="1" t="str">
        <f>TEXT(Tabela1[[#This Row],[Data]],"mmmm")</f>
        <v>luty</v>
      </c>
      <c r="C307" s="1" t="str">
        <f>TEXT(Tabela1[[#This Row],[Data]],"dddd")</f>
        <v>czwartek</v>
      </c>
      <c r="D307">
        <f>WEEKNUM(Tabela1[[#This Row],[Data]],2)</f>
        <v>6</v>
      </c>
      <c r="E307" t="str">
        <f>IF(WEEKDAY(Tabela1[[#This Row],[Data]],2)&gt;5,"TAK","NIE")</f>
        <v>NIE</v>
      </c>
      <c r="F307" s="2">
        <f>IF(Tabela1[[#This Row],[Wypadki drogowe]]=0,0,Tabela1[[#This Row],[Zabici w wypadkach]]/Tabela1[[#This Row],[Wypadki drogowe]])</f>
        <v>0.15217391304347827</v>
      </c>
      <c r="G307" s="40">
        <f>(Tabela1[[#This Row],[Zatrzymani na gorącym uczynku]]/Tabela1[[#This Row],[Interwencje]])*1000</f>
        <v>39.886660854402791</v>
      </c>
      <c r="H307">
        <v>13764</v>
      </c>
      <c r="I307">
        <v>549</v>
      </c>
      <c r="J307">
        <v>446</v>
      </c>
      <c r="K307">
        <v>182</v>
      </c>
      <c r="L307">
        <v>46</v>
      </c>
      <c r="M307">
        <v>7</v>
      </c>
      <c r="N307">
        <v>47</v>
      </c>
    </row>
    <row r="308" spans="1:14" x14ac:dyDescent="0.3">
      <c r="A308" s="1">
        <v>45693</v>
      </c>
      <c r="B308" s="1" t="str">
        <f>TEXT(Tabela1[[#This Row],[Data]],"mmmm")</f>
        <v>luty</v>
      </c>
      <c r="C308" s="1" t="str">
        <f>TEXT(Tabela1[[#This Row],[Data]],"dddd")</f>
        <v>środa</v>
      </c>
      <c r="D308">
        <f>WEEKNUM(Tabela1[[#This Row],[Data]],2)</f>
        <v>6</v>
      </c>
      <c r="E308" t="str">
        <f>IF(WEEKDAY(Tabela1[[#This Row],[Data]],2)&gt;5,"TAK","NIE")</f>
        <v>NIE</v>
      </c>
      <c r="F308" s="2">
        <f>IF(Tabela1[[#This Row],[Wypadki drogowe]]=0,0,Tabela1[[#This Row],[Zabici w wypadkach]]/Tabela1[[#This Row],[Wypadki drogowe]])</f>
        <v>0.1111111111111111</v>
      </c>
      <c r="G308" s="40">
        <f>(Tabela1[[#This Row],[Zatrzymani na gorącym uczynku]]/Tabela1[[#This Row],[Interwencje]])*1000</f>
        <v>35.965707116470341</v>
      </c>
      <c r="H308">
        <v>14347</v>
      </c>
      <c r="I308">
        <v>516</v>
      </c>
      <c r="J308">
        <v>499</v>
      </c>
      <c r="K308">
        <v>168</v>
      </c>
      <c r="L308">
        <v>36</v>
      </c>
      <c r="M308">
        <v>4</v>
      </c>
      <c r="N308">
        <v>39</v>
      </c>
    </row>
    <row r="309" spans="1:14" x14ac:dyDescent="0.3">
      <c r="A309" s="1">
        <v>45692</v>
      </c>
      <c r="B309" s="1" t="str">
        <f>TEXT(Tabela1[[#This Row],[Data]],"mmmm")</f>
        <v>luty</v>
      </c>
      <c r="C309" s="1" t="str">
        <f>TEXT(Tabela1[[#This Row],[Data]],"dddd")</f>
        <v>wtorek</v>
      </c>
      <c r="D309">
        <f>WEEKNUM(Tabela1[[#This Row],[Data]],2)</f>
        <v>6</v>
      </c>
      <c r="E309" t="str">
        <f>IF(WEEKDAY(Tabela1[[#This Row],[Data]],2)&gt;5,"TAK","NIE")</f>
        <v>NIE</v>
      </c>
      <c r="F309" s="2">
        <f>IF(Tabela1[[#This Row],[Wypadki drogowe]]=0,0,Tabela1[[#This Row],[Zabici w wypadkach]]/Tabela1[[#This Row],[Wypadki drogowe]])</f>
        <v>2.6315789473684209E-2</v>
      </c>
      <c r="G309" s="40">
        <f>(Tabela1[[#This Row],[Zatrzymani na gorącym uczynku]]/Tabela1[[#This Row],[Interwencje]])*1000</f>
        <v>40.886699507389167</v>
      </c>
      <c r="H309">
        <v>14210</v>
      </c>
      <c r="I309">
        <v>581</v>
      </c>
      <c r="J309">
        <v>491</v>
      </c>
      <c r="K309">
        <v>197</v>
      </c>
      <c r="L309">
        <v>38</v>
      </c>
      <c r="M309">
        <v>1</v>
      </c>
      <c r="N309">
        <v>46</v>
      </c>
    </row>
    <row r="310" spans="1:14" x14ac:dyDescent="0.3">
      <c r="A310" s="1">
        <v>45691</v>
      </c>
      <c r="B310" s="1" t="str">
        <f>TEXT(Tabela1[[#This Row],[Data]],"mmmm")</f>
        <v>luty</v>
      </c>
      <c r="C310" s="1" t="str">
        <f>TEXT(Tabela1[[#This Row],[Data]],"dddd")</f>
        <v>poniedziałek</v>
      </c>
      <c r="D310">
        <f>WEEKNUM(Tabela1[[#This Row],[Data]],2)</f>
        <v>6</v>
      </c>
      <c r="E310" t="str">
        <f>IF(WEEKDAY(Tabela1[[#This Row],[Data]],2)&gt;5,"TAK","NIE")</f>
        <v>NIE</v>
      </c>
      <c r="F310" s="2">
        <f>IF(Tabela1[[#This Row],[Wypadki drogowe]]=0,0,Tabela1[[#This Row],[Zabici w wypadkach]]/Tabela1[[#This Row],[Wypadki drogowe]])</f>
        <v>0.13953488372093023</v>
      </c>
      <c r="G310" s="40">
        <f>(Tabela1[[#This Row],[Zatrzymani na gorącym uczynku]]/Tabela1[[#This Row],[Interwencje]])*1000</f>
        <v>42.31414605675932</v>
      </c>
      <c r="H310">
        <v>13707</v>
      </c>
      <c r="I310">
        <v>580</v>
      </c>
      <c r="J310">
        <v>405</v>
      </c>
      <c r="K310">
        <v>234</v>
      </c>
      <c r="L310">
        <v>43</v>
      </c>
      <c r="M310">
        <v>6</v>
      </c>
      <c r="N310">
        <v>50</v>
      </c>
    </row>
    <row r="311" spans="1:14" x14ac:dyDescent="0.3">
      <c r="A311" s="1">
        <v>45690</v>
      </c>
      <c r="B311" s="1" t="str">
        <f>TEXT(Tabela1[[#This Row],[Data]],"mmmm")</f>
        <v>luty</v>
      </c>
      <c r="C311" s="1" t="str">
        <f>TEXT(Tabela1[[#This Row],[Data]],"dddd")</f>
        <v>niedziela</v>
      </c>
      <c r="D311">
        <f>WEEKNUM(Tabela1[[#This Row],[Data]],2)</f>
        <v>5</v>
      </c>
      <c r="E311" t="str">
        <f>IF(WEEKDAY(Tabela1[[#This Row],[Data]],2)&gt;5,"TAK","NIE")</f>
        <v>TAK</v>
      </c>
      <c r="F311" s="2">
        <f>IF(Tabela1[[#This Row],[Wypadki drogowe]]=0,0,Tabela1[[#This Row],[Zabici w wypadkach]]/Tabela1[[#This Row],[Wypadki drogowe]])</f>
        <v>0.17857142857142858</v>
      </c>
      <c r="G311" s="40">
        <f>(Tabela1[[#This Row],[Zatrzymani na gorącym uczynku]]/Tabela1[[#This Row],[Interwencje]])*1000</f>
        <v>40.165488708843306</v>
      </c>
      <c r="H311">
        <v>11602</v>
      </c>
      <c r="I311">
        <v>466</v>
      </c>
      <c r="J311">
        <v>228</v>
      </c>
      <c r="K311">
        <v>231</v>
      </c>
      <c r="L311">
        <v>28</v>
      </c>
      <c r="M311">
        <v>5</v>
      </c>
      <c r="N311">
        <v>30</v>
      </c>
    </row>
    <row r="312" spans="1:14" x14ac:dyDescent="0.3">
      <c r="A312" s="1">
        <v>45689</v>
      </c>
      <c r="B312" s="1" t="str">
        <f>TEXT(Tabela1[[#This Row],[Data]],"mmmm")</f>
        <v>luty</v>
      </c>
      <c r="C312" s="1" t="str">
        <f>TEXT(Tabela1[[#This Row],[Data]],"dddd")</f>
        <v>sobota</v>
      </c>
      <c r="D312">
        <f>WEEKNUM(Tabela1[[#This Row],[Data]],2)</f>
        <v>5</v>
      </c>
      <c r="E312" t="str">
        <f>IF(WEEKDAY(Tabela1[[#This Row],[Data]],2)&gt;5,"TAK","NIE")</f>
        <v>TAK</v>
      </c>
      <c r="F312" s="2">
        <f>IF(Tabela1[[#This Row],[Wypadki drogowe]]=0,0,Tabela1[[#This Row],[Zabici w wypadkach]]/Tabela1[[#This Row],[Wypadki drogowe]])</f>
        <v>0.16</v>
      </c>
      <c r="G312" s="40">
        <f>(Tabela1[[#This Row],[Zatrzymani na gorącym uczynku]]/Tabela1[[#This Row],[Interwencje]])*1000</f>
        <v>33.287482806052267</v>
      </c>
      <c r="H312">
        <v>14540</v>
      </c>
      <c r="I312">
        <v>484</v>
      </c>
      <c r="J312">
        <v>265</v>
      </c>
      <c r="K312">
        <v>217</v>
      </c>
      <c r="L312">
        <v>25</v>
      </c>
      <c r="M312">
        <v>4</v>
      </c>
      <c r="N312">
        <v>29</v>
      </c>
    </row>
    <row r="313" spans="1:14" x14ac:dyDescent="0.3">
      <c r="A313" s="1">
        <v>45688</v>
      </c>
      <c r="B313" s="1" t="str">
        <f>TEXT(Tabela1[[#This Row],[Data]],"mmmm")</f>
        <v>styczeń</v>
      </c>
      <c r="C313" s="1" t="str">
        <f>TEXT(Tabela1[[#This Row],[Data]],"dddd")</f>
        <v>piątek</v>
      </c>
      <c r="D313">
        <f>WEEKNUM(Tabela1[[#This Row],[Data]],2)</f>
        <v>5</v>
      </c>
      <c r="E313" t="str">
        <f>IF(WEEKDAY(Tabela1[[#This Row],[Data]],2)&gt;5,"TAK","NIE")</f>
        <v>NIE</v>
      </c>
      <c r="F313" s="2">
        <f>IF(Tabela1[[#This Row],[Wypadki drogowe]]=0,0,Tabela1[[#This Row],[Zabici w wypadkach]]/Tabela1[[#This Row],[Wypadki drogowe]])</f>
        <v>0.10714285714285714</v>
      </c>
      <c r="G313" s="40">
        <f>(Tabela1[[#This Row],[Zatrzymani na gorącym uczynku]]/Tabela1[[#This Row],[Interwencje]])*1000</f>
        <v>33.309617747881774</v>
      </c>
      <c r="H313">
        <v>15461</v>
      </c>
      <c r="I313">
        <v>515</v>
      </c>
      <c r="J313">
        <v>471</v>
      </c>
      <c r="K313">
        <v>211</v>
      </c>
      <c r="L313">
        <v>56</v>
      </c>
      <c r="M313">
        <v>6</v>
      </c>
      <c r="N313">
        <v>71</v>
      </c>
    </row>
    <row r="314" spans="1:14" x14ac:dyDescent="0.3">
      <c r="A314" s="1">
        <v>45687</v>
      </c>
      <c r="B314" s="1" t="str">
        <f>TEXT(Tabela1[[#This Row],[Data]],"mmmm")</f>
        <v>styczeń</v>
      </c>
      <c r="C314" s="1" t="str">
        <f>TEXT(Tabela1[[#This Row],[Data]],"dddd")</f>
        <v>czwartek</v>
      </c>
      <c r="D314">
        <f>WEEKNUM(Tabela1[[#This Row],[Data]],2)</f>
        <v>5</v>
      </c>
      <c r="E314" t="str">
        <f>IF(WEEKDAY(Tabela1[[#This Row],[Data]],2)&gt;5,"TAK","NIE")</f>
        <v>NIE</v>
      </c>
      <c r="F314" s="2">
        <f>IF(Tabela1[[#This Row],[Wypadki drogowe]]=0,0,Tabela1[[#This Row],[Zabici w wypadkach]]/Tabela1[[#This Row],[Wypadki drogowe]])</f>
        <v>3.6363636363636362E-2</v>
      </c>
      <c r="G314" s="40">
        <f>(Tabela1[[#This Row],[Zatrzymani na gorącym uczynku]]/Tabela1[[#This Row],[Interwencje]])*1000</f>
        <v>37.552062340454121</v>
      </c>
      <c r="H314">
        <v>14886</v>
      </c>
      <c r="I314">
        <v>559</v>
      </c>
      <c r="J314">
        <v>567</v>
      </c>
      <c r="K314">
        <v>201</v>
      </c>
      <c r="L314">
        <v>55</v>
      </c>
      <c r="M314">
        <v>2</v>
      </c>
      <c r="N314">
        <v>57</v>
      </c>
    </row>
    <row r="315" spans="1:14" x14ac:dyDescent="0.3">
      <c r="A315" s="1">
        <v>45686</v>
      </c>
      <c r="B315" s="1" t="str">
        <f>TEXT(Tabela1[[#This Row],[Data]],"mmmm")</f>
        <v>styczeń</v>
      </c>
      <c r="C315" s="1" t="str">
        <f>TEXT(Tabela1[[#This Row],[Data]],"dddd")</f>
        <v>środa</v>
      </c>
      <c r="D315">
        <f>WEEKNUM(Tabela1[[#This Row],[Data]],2)</f>
        <v>5</v>
      </c>
      <c r="E315" t="str">
        <f>IF(WEEKDAY(Tabela1[[#This Row],[Data]],2)&gt;5,"TAK","NIE")</f>
        <v>NIE</v>
      </c>
      <c r="F315" s="2">
        <f>IF(Tabela1[[#This Row],[Wypadki drogowe]]=0,0,Tabela1[[#This Row],[Zabici w wypadkach]]/Tabela1[[#This Row],[Wypadki drogowe]])</f>
        <v>6.25E-2</v>
      </c>
      <c r="G315" s="40">
        <f>(Tabela1[[#This Row],[Zatrzymani na gorącym uczynku]]/Tabela1[[#This Row],[Interwencje]])*1000</f>
        <v>37.596626844694306</v>
      </c>
      <c r="H315">
        <v>14230</v>
      </c>
      <c r="I315">
        <v>535</v>
      </c>
      <c r="J315">
        <v>496</v>
      </c>
      <c r="K315">
        <v>181</v>
      </c>
      <c r="L315">
        <v>32</v>
      </c>
      <c r="M315">
        <v>2</v>
      </c>
      <c r="N315">
        <v>34</v>
      </c>
    </row>
    <row r="316" spans="1:14" x14ac:dyDescent="0.3">
      <c r="A316" s="1">
        <v>45685</v>
      </c>
      <c r="B316" s="1" t="str">
        <f>TEXT(Tabela1[[#This Row],[Data]],"mmmm")</f>
        <v>styczeń</v>
      </c>
      <c r="C316" s="1" t="str">
        <f>TEXT(Tabela1[[#This Row],[Data]],"dddd")</f>
        <v>wtorek</v>
      </c>
      <c r="D316">
        <f>WEEKNUM(Tabela1[[#This Row],[Data]],2)</f>
        <v>5</v>
      </c>
      <c r="E316" t="str">
        <f>IF(WEEKDAY(Tabela1[[#This Row],[Data]],2)&gt;5,"TAK","NIE")</f>
        <v>NIE</v>
      </c>
      <c r="F316" s="2">
        <f>IF(Tabela1[[#This Row],[Wypadki drogowe]]=0,0,Tabela1[[#This Row],[Zabici w wypadkach]]/Tabela1[[#This Row],[Wypadki drogowe]])</f>
        <v>9.3023255813953487E-2</v>
      </c>
      <c r="G316" s="40">
        <f>(Tabela1[[#This Row],[Zatrzymani na gorącym uczynku]]/Tabela1[[#This Row],[Interwencje]])*1000</f>
        <v>36.273701566364387</v>
      </c>
      <c r="H316">
        <v>14556</v>
      </c>
      <c r="I316">
        <v>528</v>
      </c>
      <c r="J316">
        <v>541</v>
      </c>
      <c r="K316">
        <v>181</v>
      </c>
      <c r="L316">
        <v>43</v>
      </c>
      <c r="M316">
        <v>4</v>
      </c>
      <c r="N316">
        <v>49</v>
      </c>
    </row>
    <row r="317" spans="1:14" x14ac:dyDescent="0.3">
      <c r="A317" s="1">
        <v>45684</v>
      </c>
      <c r="B317" s="1" t="str">
        <f>TEXT(Tabela1[[#This Row],[Data]],"mmmm")</f>
        <v>styczeń</v>
      </c>
      <c r="C317" s="1" t="str">
        <f>TEXT(Tabela1[[#This Row],[Data]],"dddd")</f>
        <v>poniedziałek</v>
      </c>
      <c r="D317">
        <f>WEEKNUM(Tabela1[[#This Row],[Data]],2)</f>
        <v>5</v>
      </c>
      <c r="E317" t="str">
        <f>IF(WEEKDAY(Tabela1[[#This Row],[Data]],2)&gt;5,"TAK","NIE")</f>
        <v>NIE</v>
      </c>
      <c r="F317" s="2">
        <f>IF(Tabela1[[#This Row],[Wypadki drogowe]]=0,0,Tabela1[[#This Row],[Zabici w wypadkach]]/Tabela1[[#This Row],[Wypadki drogowe]])</f>
        <v>6.3829787234042548E-2</v>
      </c>
      <c r="G317" s="40">
        <f>(Tabela1[[#This Row],[Zatrzymani na gorącym uczynku]]/Tabela1[[#This Row],[Interwencje]])*1000</f>
        <v>37.414491134999302</v>
      </c>
      <c r="H317">
        <v>14326</v>
      </c>
      <c r="I317">
        <v>536</v>
      </c>
      <c r="J317">
        <v>407</v>
      </c>
      <c r="K317">
        <v>213</v>
      </c>
      <c r="L317">
        <v>47</v>
      </c>
      <c r="M317">
        <v>3</v>
      </c>
      <c r="N317">
        <v>51</v>
      </c>
    </row>
    <row r="318" spans="1:14" x14ac:dyDescent="0.3">
      <c r="A318" s="1">
        <v>45683</v>
      </c>
      <c r="B318" s="1" t="str">
        <f>TEXT(Tabela1[[#This Row],[Data]],"mmmm")</f>
        <v>styczeń</v>
      </c>
      <c r="C318" s="1" t="str">
        <f>TEXT(Tabela1[[#This Row],[Data]],"dddd")</f>
        <v>niedziela</v>
      </c>
      <c r="D318">
        <f>WEEKNUM(Tabela1[[#This Row],[Data]],2)</f>
        <v>4</v>
      </c>
      <c r="E318" t="str">
        <f>IF(WEEKDAY(Tabela1[[#This Row],[Data]],2)&gt;5,"TAK","NIE")</f>
        <v>TAK</v>
      </c>
      <c r="F318" s="2">
        <f>IF(Tabela1[[#This Row],[Wypadki drogowe]]=0,0,Tabela1[[#This Row],[Zabici w wypadkach]]/Tabela1[[#This Row],[Wypadki drogowe]])</f>
        <v>8.8888888888888892E-2</v>
      </c>
      <c r="G318" s="40">
        <f>(Tabela1[[#This Row],[Zatrzymani na gorącym uczynku]]/Tabela1[[#This Row],[Interwencje]])*1000</f>
        <v>46.247948679695661</v>
      </c>
      <c r="H318">
        <v>13406</v>
      </c>
      <c r="I318">
        <v>620</v>
      </c>
      <c r="J318">
        <v>295</v>
      </c>
      <c r="K318">
        <v>297</v>
      </c>
      <c r="L318">
        <v>45</v>
      </c>
      <c r="M318">
        <v>4</v>
      </c>
      <c r="N318">
        <v>51</v>
      </c>
    </row>
    <row r="319" spans="1:14" x14ac:dyDescent="0.3">
      <c r="A319" s="1">
        <v>45682</v>
      </c>
      <c r="B319" s="1" t="str">
        <f>TEXT(Tabela1[[#This Row],[Data]],"mmmm")</f>
        <v>styczeń</v>
      </c>
      <c r="C319" s="1" t="str">
        <f>TEXT(Tabela1[[#This Row],[Data]],"dddd")</f>
        <v>sobota</v>
      </c>
      <c r="D319">
        <f>WEEKNUM(Tabela1[[#This Row],[Data]],2)</f>
        <v>4</v>
      </c>
      <c r="E319" t="str">
        <f>IF(WEEKDAY(Tabela1[[#This Row],[Data]],2)&gt;5,"TAK","NIE")</f>
        <v>TAK</v>
      </c>
      <c r="F319" s="2">
        <f>IF(Tabela1[[#This Row],[Wypadki drogowe]]=0,0,Tabela1[[#This Row],[Zabici w wypadkach]]/Tabela1[[#This Row],[Wypadki drogowe]])</f>
        <v>0.21621621621621623</v>
      </c>
      <c r="G319" s="40">
        <f>(Tabela1[[#This Row],[Zatrzymani na gorącym uczynku]]/Tabela1[[#This Row],[Interwencje]])*1000</f>
        <v>40.283070223189988</v>
      </c>
      <c r="H319">
        <v>14696</v>
      </c>
      <c r="I319">
        <v>592</v>
      </c>
      <c r="J319">
        <v>246</v>
      </c>
      <c r="K319">
        <v>301</v>
      </c>
      <c r="L319">
        <v>37</v>
      </c>
      <c r="M319">
        <v>8</v>
      </c>
      <c r="N319">
        <v>37</v>
      </c>
    </row>
    <row r="320" spans="1:14" x14ac:dyDescent="0.3">
      <c r="A320" s="1">
        <v>45681</v>
      </c>
      <c r="B320" s="1" t="str">
        <f>TEXT(Tabela1[[#This Row],[Data]],"mmmm")</f>
        <v>styczeń</v>
      </c>
      <c r="C320" s="1" t="str">
        <f>TEXT(Tabela1[[#This Row],[Data]],"dddd")</f>
        <v>piątek</v>
      </c>
      <c r="D320">
        <f>WEEKNUM(Tabela1[[#This Row],[Data]],2)</f>
        <v>4</v>
      </c>
      <c r="E320" t="str">
        <f>IF(WEEKDAY(Tabela1[[#This Row],[Data]],2)&gt;5,"TAK","NIE")</f>
        <v>NIE</v>
      </c>
      <c r="F320" s="2">
        <f>IF(Tabela1[[#This Row],[Wypadki drogowe]]=0,0,Tabela1[[#This Row],[Zabici w wypadkach]]/Tabela1[[#This Row],[Wypadki drogowe]])</f>
        <v>0.04</v>
      </c>
      <c r="G320" s="40">
        <f>(Tabela1[[#This Row],[Zatrzymani na gorącym uczynku]]/Tabela1[[#This Row],[Interwencje]])*1000</f>
        <v>34.962812281482421</v>
      </c>
      <c r="H320">
        <v>15731</v>
      </c>
      <c r="I320">
        <v>550</v>
      </c>
      <c r="J320">
        <v>450</v>
      </c>
      <c r="K320">
        <v>180</v>
      </c>
      <c r="L320">
        <v>50</v>
      </c>
      <c r="M320">
        <v>2</v>
      </c>
      <c r="N320">
        <v>58</v>
      </c>
    </row>
    <row r="321" spans="1:14" x14ac:dyDescent="0.3">
      <c r="A321" s="1">
        <v>45680</v>
      </c>
      <c r="B321" s="1" t="str">
        <f>TEXT(Tabela1[[#This Row],[Data]],"mmmm")</f>
        <v>styczeń</v>
      </c>
      <c r="C321" s="1" t="str">
        <f>TEXT(Tabela1[[#This Row],[Data]],"dddd")</f>
        <v>czwartek</v>
      </c>
      <c r="D321">
        <f>WEEKNUM(Tabela1[[#This Row],[Data]],2)</f>
        <v>4</v>
      </c>
      <c r="E321" t="str">
        <f>IF(WEEKDAY(Tabela1[[#This Row],[Data]],2)&gt;5,"TAK","NIE")</f>
        <v>NIE</v>
      </c>
      <c r="F321" s="2">
        <f>IF(Tabela1[[#This Row],[Wypadki drogowe]]=0,0,Tabela1[[#This Row],[Zabici w wypadkach]]/Tabela1[[#This Row],[Wypadki drogowe]])</f>
        <v>0.1</v>
      </c>
      <c r="G321" s="40">
        <f>(Tabela1[[#This Row],[Zatrzymani na gorącym uczynku]]/Tabela1[[#This Row],[Interwencje]])*1000</f>
        <v>36.933847692527507</v>
      </c>
      <c r="H321">
        <v>13998</v>
      </c>
      <c r="I321">
        <v>517</v>
      </c>
      <c r="J321">
        <v>473</v>
      </c>
      <c r="K321">
        <v>169</v>
      </c>
      <c r="L321">
        <v>40</v>
      </c>
      <c r="M321">
        <v>4</v>
      </c>
      <c r="N321">
        <v>39</v>
      </c>
    </row>
    <row r="322" spans="1:14" x14ac:dyDescent="0.3">
      <c r="A322" s="1">
        <v>45679</v>
      </c>
      <c r="B322" s="1" t="str">
        <f>TEXT(Tabela1[[#This Row],[Data]],"mmmm")</f>
        <v>styczeń</v>
      </c>
      <c r="C322" s="1" t="str">
        <f>TEXT(Tabela1[[#This Row],[Data]],"dddd")</f>
        <v>środa</v>
      </c>
      <c r="D322">
        <f>WEEKNUM(Tabela1[[#This Row],[Data]],2)</f>
        <v>4</v>
      </c>
      <c r="E322" t="str">
        <f>IF(WEEKDAY(Tabela1[[#This Row],[Data]],2)&gt;5,"TAK","NIE")</f>
        <v>NIE</v>
      </c>
      <c r="F322" s="2">
        <f>IF(Tabela1[[#This Row],[Wypadki drogowe]]=0,0,Tabela1[[#This Row],[Zabici w wypadkach]]/Tabela1[[#This Row],[Wypadki drogowe]])</f>
        <v>0.05</v>
      </c>
      <c r="G322" s="40">
        <f>(Tabela1[[#This Row],[Zatrzymani na gorącym uczynku]]/Tabela1[[#This Row],[Interwencje]])*1000</f>
        <v>36.649582250930287</v>
      </c>
      <c r="H322">
        <v>14243</v>
      </c>
      <c r="I322">
        <v>522</v>
      </c>
      <c r="J322">
        <v>492</v>
      </c>
      <c r="K322">
        <v>183</v>
      </c>
      <c r="L322">
        <v>40</v>
      </c>
      <c r="M322">
        <v>2</v>
      </c>
      <c r="N322">
        <v>47</v>
      </c>
    </row>
    <row r="323" spans="1:14" x14ac:dyDescent="0.3">
      <c r="A323" s="1">
        <v>45678</v>
      </c>
      <c r="B323" s="1" t="str">
        <f>TEXT(Tabela1[[#This Row],[Data]],"mmmm")</f>
        <v>styczeń</v>
      </c>
      <c r="C323" s="1" t="str">
        <f>TEXT(Tabela1[[#This Row],[Data]],"dddd")</f>
        <v>wtorek</v>
      </c>
      <c r="D323">
        <f>WEEKNUM(Tabela1[[#This Row],[Data]],2)</f>
        <v>4</v>
      </c>
      <c r="E323" t="str">
        <f>IF(WEEKDAY(Tabela1[[#This Row],[Data]],2)&gt;5,"TAK","NIE")</f>
        <v>NIE</v>
      </c>
      <c r="F323" s="2">
        <f>IF(Tabela1[[#This Row],[Wypadki drogowe]]=0,0,Tabela1[[#This Row],[Zabici w wypadkach]]/Tabela1[[#This Row],[Wypadki drogowe]])</f>
        <v>0.1111111111111111</v>
      </c>
      <c r="G323" s="40">
        <f>(Tabela1[[#This Row],[Zatrzymani na gorącym uczynku]]/Tabela1[[#This Row],[Interwencje]])*1000</f>
        <v>35.269867928849528</v>
      </c>
      <c r="H323">
        <v>13099</v>
      </c>
      <c r="I323">
        <v>462</v>
      </c>
      <c r="J323">
        <v>394</v>
      </c>
      <c r="K323">
        <v>149</v>
      </c>
      <c r="L323">
        <v>36</v>
      </c>
      <c r="M323">
        <v>4</v>
      </c>
      <c r="N323">
        <v>42</v>
      </c>
    </row>
    <row r="324" spans="1:14" x14ac:dyDescent="0.3">
      <c r="A324" s="1">
        <v>45677</v>
      </c>
      <c r="B324" s="1" t="str">
        <f>TEXT(Tabela1[[#This Row],[Data]],"mmmm")</f>
        <v>styczeń</v>
      </c>
      <c r="C324" s="1" t="str">
        <f>TEXT(Tabela1[[#This Row],[Data]],"dddd")</f>
        <v>poniedziałek</v>
      </c>
      <c r="D324">
        <f>WEEKNUM(Tabela1[[#This Row],[Data]],2)</f>
        <v>4</v>
      </c>
      <c r="E324" t="str">
        <f>IF(WEEKDAY(Tabela1[[#This Row],[Data]],2)&gt;5,"TAK","NIE")</f>
        <v>NIE</v>
      </c>
      <c r="F324" s="2">
        <f>IF(Tabela1[[#This Row],[Wypadki drogowe]]=0,0,Tabela1[[#This Row],[Zabici w wypadkach]]/Tabela1[[#This Row],[Wypadki drogowe]])</f>
        <v>6.8965517241379309E-2</v>
      </c>
      <c r="G324" s="40">
        <f>(Tabela1[[#This Row],[Zatrzymani na gorącym uczynku]]/Tabela1[[#This Row],[Interwencje]])*1000</f>
        <v>34.427597718736955</v>
      </c>
      <c r="H324">
        <v>14378</v>
      </c>
      <c r="I324">
        <v>495</v>
      </c>
      <c r="J324">
        <v>423</v>
      </c>
      <c r="K324">
        <v>215</v>
      </c>
      <c r="L324">
        <v>58</v>
      </c>
      <c r="M324">
        <v>4</v>
      </c>
      <c r="N324">
        <v>68</v>
      </c>
    </row>
    <row r="325" spans="1:14" x14ac:dyDescent="0.3">
      <c r="A325" s="1">
        <v>45676</v>
      </c>
      <c r="B325" s="1" t="str">
        <f>TEXT(Tabela1[[#This Row],[Data]],"mmmm")</f>
        <v>styczeń</v>
      </c>
      <c r="C325" s="1" t="str">
        <f>TEXT(Tabela1[[#This Row],[Data]],"dddd")</f>
        <v>niedziela</v>
      </c>
      <c r="D325">
        <f>WEEKNUM(Tabela1[[#This Row],[Data]],2)</f>
        <v>3</v>
      </c>
      <c r="E325" t="str">
        <f>IF(WEEKDAY(Tabela1[[#This Row],[Data]],2)&gt;5,"TAK","NIE")</f>
        <v>TAK</v>
      </c>
      <c r="F325" s="2">
        <f>IF(Tabela1[[#This Row],[Wypadki drogowe]]=0,0,Tabela1[[#This Row],[Zabici w wypadkach]]/Tabela1[[#This Row],[Wypadki drogowe]])</f>
        <v>6.4516129032258063E-2</v>
      </c>
      <c r="G325" s="40">
        <f>(Tabela1[[#This Row],[Zatrzymani na gorącym uczynku]]/Tabela1[[#This Row],[Interwencje]])*1000</f>
        <v>40.274715957266409</v>
      </c>
      <c r="H325">
        <v>11794</v>
      </c>
      <c r="I325">
        <v>475</v>
      </c>
      <c r="J325">
        <v>215</v>
      </c>
      <c r="K325">
        <v>215</v>
      </c>
      <c r="L325">
        <v>31</v>
      </c>
      <c r="M325">
        <v>2</v>
      </c>
      <c r="N325">
        <v>38</v>
      </c>
    </row>
    <row r="326" spans="1:14" x14ac:dyDescent="0.3">
      <c r="A326" s="1">
        <v>45675</v>
      </c>
      <c r="B326" s="1" t="str">
        <f>TEXT(Tabela1[[#This Row],[Data]],"mmmm")</f>
        <v>styczeń</v>
      </c>
      <c r="C326" s="1" t="str">
        <f>TEXT(Tabela1[[#This Row],[Data]],"dddd")</f>
        <v>sobota</v>
      </c>
      <c r="D326">
        <f>WEEKNUM(Tabela1[[#This Row],[Data]],2)</f>
        <v>3</v>
      </c>
      <c r="E326" t="str">
        <f>IF(WEEKDAY(Tabela1[[#This Row],[Data]],2)&gt;5,"TAK","NIE")</f>
        <v>TAK</v>
      </c>
      <c r="F326" s="2">
        <f>IF(Tabela1[[#This Row],[Wypadki drogowe]]=0,0,Tabela1[[#This Row],[Zabici w wypadkach]]/Tabela1[[#This Row],[Wypadki drogowe]])</f>
        <v>2.5000000000000001E-2</v>
      </c>
      <c r="G326" s="40">
        <f>(Tabela1[[#This Row],[Zatrzymani na gorącym uczynku]]/Tabela1[[#This Row],[Interwencje]])*1000</f>
        <v>37.207726194510336</v>
      </c>
      <c r="H326">
        <v>14755</v>
      </c>
      <c r="I326">
        <v>549</v>
      </c>
      <c r="J326">
        <v>276</v>
      </c>
      <c r="K326">
        <v>259</v>
      </c>
      <c r="L326">
        <v>40</v>
      </c>
      <c r="M326">
        <v>1</v>
      </c>
      <c r="N326">
        <v>52</v>
      </c>
    </row>
    <row r="327" spans="1:14" x14ac:dyDescent="0.3">
      <c r="A327" s="1">
        <v>45674</v>
      </c>
      <c r="B327" s="1" t="str">
        <f>TEXT(Tabela1[[#This Row],[Data]],"mmmm")</f>
        <v>styczeń</v>
      </c>
      <c r="C327" s="1" t="str">
        <f>TEXT(Tabela1[[#This Row],[Data]],"dddd")</f>
        <v>piątek</v>
      </c>
      <c r="D327">
        <f>WEEKNUM(Tabela1[[#This Row],[Data]],2)</f>
        <v>3</v>
      </c>
      <c r="E327" t="str">
        <f>IF(WEEKDAY(Tabela1[[#This Row],[Data]],2)&gt;5,"TAK","NIE")</f>
        <v>NIE</v>
      </c>
      <c r="F327" s="2">
        <f>IF(Tabela1[[#This Row],[Wypadki drogowe]]=0,0,Tabela1[[#This Row],[Zabici w wypadkach]]/Tabela1[[#This Row],[Wypadki drogowe]])</f>
        <v>0.05</v>
      </c>
      <c r="G327" s="40">
        <f>(Tabela1[[#This Row],[Zatrzymani na gorącym uczynku]]/Tabela1[[#This Row],[Interwencje]])*1000</f>
        <v>30.432836775142253</v>
      </c>
      <c r="H327">
        <v>15641</v>
      </c>
      <c r="I327">
        <v>476</v>
      </c>
      <c r="J327">
        <v>507</v>
      </c>
      <c r="K327">
        <v>180</v>
      </c>
      <c r="L327">
        <v>40</v>
      </c>
      <c r="M327">
        <v>2</v>
      </c>
      <c r="N327">
        <v>42</v>
      </c>
    </row>
    <row r="328" spans="1:14" x14ac:dyDescent="0.3">
      <c r="A328" s="1">
        <v>45673</v>
      </c>
      <c r="B328" s="1" t="str">
        <f>TEXT(Tabela1[[#This Row],[Data]],"mmmm")</f>
        <v>styczeń</v>
      </c>
      <c r="C328" s="1" t="str">
        <f>TEXT(Tabela1[[#This Row],[Data]],"dddd")</f>
        <v>czwartek</v>
      </c>
      <c r="D328">
        <f>WEEKNUM(Tabela1[[#This Row],[Data]],2)</f>
        <v>3</v>
      </c>
      <c r="E328" t="str">
        <f>IF(WEEKDAY(Tabela1[[#This Row],[Data]],2)&gt;5,"TAK","NIE")</f>
        <v>NIE</v>
      </c>
      <c r="F328" s="2">
        <f>IF(Tabela1[[#This Row],[Wypadki drogowe]]=0,0,Tabela1[[#This Row],[Zabici w wypadkach]]/Tabela1[[#This Row],[Wypadki drogowe]])</f>
        <v>0.05</v>
      </c>
      <c r="G328" s="40">
        <f>(Tabela1[[#This Row],[Zatrzymani na gorącym uczynku]]/Tabela1[[#This Row],[Interwencje]])*1000</f>
        <v>38.67289462838302</v>
      </c>
      <c r="H328">
        <v>14558</v>
      </c>
      <c r="I328">
        <v>563</v>
      </c>
      <c r="J328">
        <v>589</v>
      </c>
      <c r="K328">
        <v>190</v>
      </c>
      <c r="L328">
        <v>40</v>
      </c>
      <c r="M328">
        <v>2</v>
      </c>
      <c r="N328">
        <v>42</v>
      </c>
    </row>
    <row r="329" spans="1:14" x14ac:dyDescent="0.3">
      <c r="A329" s="1">
        <v>45672</v>
      </c>
      <c r="B329" s="1" t="str">
        <f>TEXT(Tabela1[[#This Row],[Data]],"mmmm")</f>
        <v>styczeń</v>
      </c>
      <c r="C329" s="1" t="str">
        <f>TEXT(Tabela1[[#This Row],[Data]],"dddd")</f>
        <v>środa</v>
      </c>
      <c r="D329">
        <f>WEEKNUM(Tabela1[[#This Row],[Data]],2)</f>
        <v>3</v>
      </c>
      <c r="E329" t="str">
        <f>IF(WEEKDAY(Tabela1[[#This Row],[Data]],2)&gt;5,"TAK","NIE")</f>
        <v>NIE</v>
      </c>
      <c r="F329" s="2">
        <f>IF(Tabela1[[#This Row],[Wypadki drogowe]]=0,0,Tabela1[[#This Row],[Zabici w wypadkach]]/Tabela1[[#This Row],[Wypadki drogowe]])</f>
        <v>4.5454545454545456E-2</v>
      </c>
      <c r="G329" s="40">
        <f>(Tabela1[[#This Row],[Zatrzymani na gorącym uczynku]]/Tabela1[[#This Row],[Interwencje]])*1000</f>
        <v>36.306235201262822</v>
      </c>
      <c r="H329">
        <v>13937</v>
      </c>
      <c r="I329">
        <v>506</v>
      </c>
      <c r="J329">
        <v>501</v>
      </c>
      <c r="K329">
        <v>198</v>
      </c>
      <c r="L329">
        <v>44</v>
      </c>
      <c r="M329">
        <v>2</v>
      </c>
      <c r="N329">
        <v>54</v>
      </c>
    </row>
    <row r="330" spans="1:14" x14ac:dyDescent="0.3">
      <c r="A330" s="1">
        <v>45671</v>
      </c>
      <c r="B330" s="1" t="str">
        <f>TEXT(Tabela1[[#This Row],[Data]],"mmmm")</f>
        <v>styczeń</v>
      </c>
      <c r="C330" s="1" t="str">
        <f>TEXT(Tabela1[[#This Row],[Data]],"dddd")</f>
        <v>wtorek</v>
      </c>
      <c r="D330">
        <f>WEEKNUM(Tabela1[[#This Row],[Data]],2)</f>
        <v>3</v>
      </c>
      <c r="E330" t="str">
        <f>IF(WEEKDAY(Tabela1[[#This Row],[Data]],2)&gt;5,"TAK","NIE")</f>
        <v>NIE</v>
      </c>
      <c r="F330" s="2">
        <f>IF(Tabela1[[#This Row],[Wypadki drogowe]]=0,0,Tabela1[[#This Row],[Zabici w wypadkach]]/Tabela1[[#This Row],[Wypadki drogowe]])</f>
        <v>0.125</v>
      </c>
      <c r="G330" s="40">
        <f>(Tabela1[[#This Row],[Zatrzymani na gorącym uczynku]]/Tabela1[[#This Row],[Interwencje]])*1000</f>
        <v>37.196845707484009</v>
      </c>
      <c r="H330">
        <v>13442</v>
      </c>
      <c r="I330">
        <v>500</v>
      </c>
      <c r="J330">
        <v>466</v>
      </c>
      <c r="K330">
        <v>179</v>
      </c>
      <c r="L330">
        <v>32</v>
      </c>
      <c r="M330">
        <v>4</v>
      </c>
      <c r="N330">
        <v>41</v>
      </c>
    </row>
    <row r="331" spans="1:14" x14ac:dyDescent="0.3">
      <c r="A331" s="1">
        <v>45670</v>
      </c>
      <c r="B331" s="1" t="str">
        <f>TEXT(Tabela1[[#This Row],[Data]],"mmmm")</f>
        <v>styczeń</v>
      </c>
      <c r="C331" s="1" t="str">
        <f>TEXT(Tabela1[[#This Row],[Data]],"dddd")</f>
        <v>poniedziałek</v>
      </c>
      <c r="D331">
        <f>WEEKNUM(Tabela1[[#This Row],[Data]],2)</f>
        <v>3</v>
      </c>
      <c r="E331" t="str">
        <f>IF(WEEKDAY(Tabela1[[#This Row],[Data]],2)&gt;5,"TAK","NIE")</f>
        <v>NIE</v>
      </c>
      <c r="F331" s="2">
        <f>IF(Tabela1[[#This Row],[Wypadki drogowe]]=0,0,Tabela1[[#This Row],[Zabici w wypadkach]]/Tabela1[[#This Row],[Wypadki drogowe]])</f>
        <v>6.0606060606060608E-2</v>
      </c>
      <c r="G331" s="40">
        <f>(Tabela1[[#This Row],[Zatrzymani na gorącym uczynku]]/Tabela1[[#This Row],[Interwencje]])*1000</f>
        <v>37.073024889752595</v>
      </c>
      <c r="H331">
        <v>13379</v>
      </c>
      <c r="I331">
        <v>496</v>
      </c>
      <c r="J331">
        <v>412</v>
      </c>
      <c r="K331">
        <v>217</v>
      </c>
      <c r="L331">
        <v>33</v>
      </c>
      <c r="M331">
        <v>2</v>
      </c>
      <c r="N331">
        <v>40</v>
      </c>
    </row>
    <row r="332" spans="1:14" x14ac:dyDescent="0.3">
      <c r="A332" s="1">
        <v>45669</v>
      </c>
      <c r="B332" s="1" t="str">
        <f>TEXT(Tabela1[[#This Row],[Data]],"mmmm")</f>
        <v>styczeń</v>
      </c>
      <c r="C332" s="1" t="str">
        <f>TEXT(Tabela1[[#This Row],[Data]],"dddd")</f>
        <v>niedziela</v>
      </c>
      <c r="D332">
        <f>WEEKNUM(Tabela1[[#This Row],[Data]],2)</f>
        <v>2</v>
      </c>
      <c r="E332" t="str">
        <f>IF(WEEKDAY(Tabela1[[#This Row],[Data]],2)&gt;5,"TAK","NIE")</f>
        <v>TAK</v>
      </c>
      <c r="F332" s="2">
        <f>IF(Tabela1[[#This Row],[Wypadki drogowe]]=0,0,Tabela1[[#This Row],[Zabici w wypadkach]]/Tabela1[[#This Row],[Wypadki drogowe]])</f>
        <v>0</v>
      </c>
      <c r="G332" s="40">
        <f>(Tabela1[[#This Row],[Zatrzymani na gorącym uczynku]]/Tabela1[[#This Row],[Interwencje]])*1000</f>
        <v>36.235086168802475</v>
      </c>
      <c r="H332">
        <v>11315</v>
      </c>
      <c r="I332">
        <v>410</v>
      </c>
      <c r="J332">
        <v>233</v>
      </c>
      <c r="K332">
        <v>192</v>
      </c>
      <c r="L332">
        <v>22</v>
      </c>
      <c r="M332">
        <v>0</v>
      </c>
      <c r="N332">
        <v>34</v>
      </c>
    </row>
    <row r="333" spans="1:14" x14ac:dyDescent="0.3">
      <c r="A333" s="1">
        <v>45668</v>
      </c>
      <c r="B333" s="1" t="str">
        <f>TEXT(Tabela1[[#This Row],[Data]],"mmmm")</f>
        <v>styczeń</v>
      </c>
      <c r="C333" s="1" t="str">
        <f>TEXT(Tabela1[[#This Row],[Data]],"dddd")</f>
        <v>sobota</v>
      </c>
      <c r="D333">
        <f>WEEKNUM(Tabela1[[#This Row],[Data]],2)</f>
        <v>2</v>
      </c>
      <c r="E333" t="str">
        <f>IF(WEEKDAY(Tabela1[[#This Row],[Data]],2)&gt;5,"TAK","NIE")</f>
        <v>TAK</v>
      </c>
      <c r="F333" s="2">
        <f>IF(Tabela1[[#This Row],[Wypadki drogowe]]=0,0,Tabela1[[#This Row],[Zabici w wypadkach]]/Tabela1[[#This Row],[Wypadki drogowe]])</f>
        <v>7.6923076923076927E-2</v>
      </c>
      <c r="G333" s="40">
        <f>(Tabela1[[#This Row],[Zatrzymani na gorącym uczynku]]/Tabela1[[#This Row],[Interwencje]])*1000</f>
        <v>34.662166912746962</v>
      </c>
      <c r="H333">
        <v>14223</v>
      </c>
      <c r="I333">
        <v>493</v>
      </c>
      <c r="J333">
        <v>217</v>
      </c>
      <c r="K333">
        <v>171</v>
      </c>
      <c r="L333">
        <v>39</v>
      </c>
      <c r="M333">
        <v>3</v>
      </c>
      <c r="N333">
        <v>49</v>
      </c>
    </row>
    <row r="334" spans="1:14" x14ac:dyDescent="0.3">
      <c r="A334" s="1">
        <v>45667</v>
      </c>
      <c r="B334" s="1" t="str">
        <f>TEXT(Tabela1[[#This Row],[Data]],"mmmm")</f>
        <v>styczeń</v>
      </c>
      <c r="C334" s="1" t="str">
        <f>TEXT(Tabela1[[#This Row],[Data]],"dddd")</f>
        <v>piątek</v>
      </c>
      <c r="D334">
        <f>WEEKNUM(Tabela1[[#This Row],[Data]],2)</f>
        <v>2</v>
      </c>
      <c r="E334" t="str">
        <f>IF(WEEKDAY(Tabela1[[#This Row],[Data]],2)&gt;5,"TAK","NIE")</f>
        <v>NIE</v>
      </c>
      <c r="F334" s="2">
        <f>IF(Tabela1[[#This Row],[Wypadki drogowe]]=0,0,Tabela1[[#This Row],[Zabici w wypadkach]]/Tabela1[[#This Row],[Wypadki drogowe]])</f>
        <v>0.11320754716981132</v>
      </c>
      <c r="G334" s="40">
        <f>(Tabela1[[#This Row],[Zatrzymani na gorącym uczynku]]/Tabela1[[#This Row],[Interwencje]])*1000</f>
        <v>34.798298749838899</v>
      </c>
      <c r="H334">
        <v>15518</v>
      </c>
      <c r="I334">
        <v>540</v>
      </c>
      <c r="J334">
        <v>455</v>
      </c>
      <c r="K334">
        <v>185</v>
      </c>
      <c r="L334">
        <v>53</v>
      </c>
      <c r="M334">
        <v>6</v>
      </c>
      <c r="N334">
        <v>58</v>
      </c>
    </row>
    <row r="335" spans="1:14" x14ac:dyDescent="0.3">
      <c r="A335" s="1">
        <v>45666</v>
      </c>
      <c r="B335" s="1" t="str">
        <f>TEXT(Tabela1[[#This Row],[Data]],"mmmm")</f>
        <v>styczeń</v>
      </c>
      <c r="C335" s="1" t="str">
        <f>TEXT(Tabela1[[#This Row],[Data]],"dddd")</f>
        <v>czwartek</v>
      </c>
      <c r="D335">
        <f>WEEKNUM(Tabela1[[#This Row],[Data]],2)</f>
        <v>2</v>
      </c>
      <c r="E335" t="str">
        <f>IF(WEEKDAY(Tabela1[[#This Row],[Data]],2)&gt;5,"TAK","NIE")</f>
        <v>NIE</v>
      </c>
      <c r="F335" s="2">
        <f>IF(Tabela1[[#This Row],[Wypadki drogowe]]=0,0,Tabela1[[#This Row],[Zabici w wypadkach]]/Tabela1[[#This Row],[Wypadki drogowe]])</f>
        <v>5.7692307692307696E-2</v>
      </c>
      <c r="G335" s="40">
        <f>(Tabela1[[#This Row],[Zatrzymani na gorącym uczynku]]/Tabela1[[#This Row],[Interwencje]])*1000</f>
        <v>34.698935704913254</v>
      </c>
      <c r="H335">
        <v>13718</v>
      </c>
      <c r="I335">
        <v>476</v>
      </c>
      <c r="J335">
        <v>506</v>
      </c>
      <c r="K335">
        <v>157</v>
      </c>
      <c r="L335">
        <v>52</v>
      </c>
      <c r="M335">
        <v>3</v>
      </c>
      <c r="N335">
        <v>53</v>
      </c>
    </row>
    <row r="336" spans="1:14" x14ac:dyDescent="0.3">
      <c r="A336" s="1">
        <v>45665</v>
      </c>
      <c r="B336" s="1" t="str">
        <f>TEXT(Tabela1[[#This Row],[Data]],"mmmm")</f>
        <v>styczeń</v>
      </c>
      <c r="C336" s="1" t="str">
        <f>TEXT(Tabela1[[#This Row],[Data]],"dddd")</f>
        <v>środa</v>
      </c>
      <c r="D336">
        <f>WEEKNUM(Tabela1[[#This Row],[Data]],2)</f>
        <v>2</v>
      </c>
      <c r="E336" t="str">
        <f>IF(WEEKDAY(Tabela1[[#This Row],[Data]],2)&gt;5,"TAK","NIE")</f>
        <v>NIE</v>
      </c>
      <c r="F336" s="2">
        <f>IF(Tabela1[[#This Row],[Wypadki drogowe]]=0,0,Tabela1[[#This Row],[Zabici w wypadkach]]/Tabela1[[#This Row],[Wypadki drogowe]])</f>
        <v>1.6949152542372881E-2</v>
      </c>
      <c r="G336" s="40">
        <f>(Tabela1[[#This Row],[Zatrzymani na gorącym uczynku]]/Tabela1[[#This Row],[Interwencje]])*1000</f>
        <v>33.032821524158329</v>
      </c>
      <c r="H336">
        <v>14198</v>
      </c>
      <c r="I336">
        <v>469</v>
      </c>
      <c r="J336">
        <v>450</v>
      </c>
      <c r="K336">
        <v>136</v>
      </c>
      <c r="L336">
        <v>59</v>
      </c>
      <c r="M336">
        <v>1</v>
      </c>
      <c r="N336">
        <v>66</v>
      </c>
    </row>
    <row r="337" spans="1:14" x14ac:dyDescent="0.3">
      <c r="A337" s="1">
        <v>45664</v>
      </c>
      <c r="B337" s="1" t="str">
        <f>TEXT(Tabela1[[#This Row],[Data]],"mmmm")</f>
        <v>styczeń</v>
      </c>
      <c r="C337" s="1" t="str">
        <f>TEXT(Tabela1[[#This Row],[Data]],"dddd")</f>
        <v>wtorek</v>
      </c>
      <c r="D337">
        <f>WEEKNUM(Tabela1[[#This Row],[Data]],2)</f>
        <v>2</v>
      </c>
      <c r="E337" t="str">
        <f>IF(WEEKDAY(Tabela1[[#This Row],[Data]],2)&gt;5,"TAK","NIE")</f>
        <v>NIE</v>
      </c>
      <c r="F337" s="2">
        <f>IF(Tabela1[[#This Row],[Wypadki drogowe]]=0,0,Tabela1[[#This Row],[Zabici w wypadkach]]/Tabela1[[#This Row],[Wypadki drogowe]])</f>
        <v>7.3529411764705885E-2</v>
      </c>
      <c r="G337" s="40">
        <f>(Tabela1[[#This Row],[Zatrzymani na gorącym uczynku]]/Tabela1[[#This Row],[Interwencje]])*1000</f>
        <v>46.531791907514446</v>
      </c>
      <c r="H337">
        <v>13840</v>
      </c>
      <c r="I337">
        <v>644</v>
      </c>
      <c r="J337">
        <v>416</v>
      </c>
      <c r="K337">
        <v>447</v>
      </c>
      <c r="L337">
        <v>68</v>
      </c>
      <c r="M337">
        <v>5</v>
      </c>
      <c r="N337">
        <v>73</v>
      </c>
    </row>
    <row r="338" spans="1:14" x14ac:dyDescent="0.3">
      <c r="A338" s="1">
        <v>45663</v>
      </c>
      <c r="B338" s="1" t="str">
        <f>TEXT(Tabela1[[#This Row],[Data]],"mmmm")</f>
        <v>styczeń</v>
      </c>
      <c r="C338" s="1" t="str">
        <f>TEXT(Tabela1[[#This Row],[Data]],"dddd")</f>
        <v>poniedziałek</v>
      </c>
      <c r="D338">
        <f>WEEKNUM(Tabela1[[#This Row],[Data]],2)</f>
        <v>2</v>
      </c>
      <c r="E338" t="str">
        <f>IF(WEEKDAY(Tabela1[[#This Row],[Data]],2)&gt;5,"TAK","NIE")</f>
        <v>NIE</v>
      </c>
      <c r="F338" s="2">
        <f>IF(Tabela1[[#This Row],[Wypadki drogowe]]=0,0,Tabela1[[#This Row],[Zabici w wypadkach]]/Tabela1[[#This Row],[Wypadki drogowe]])</f>
        <v>0.1111111111111111</v>
      </c>
      <c r="G338" s="40">
        <f>(Tabela1[[#This Row],[Zatrzymani na gorącym uczynku]]/Tabela1[[#This Row],[Interwencje]])*1000</f>
        <v>38.866728035184614</v>
      </c>
      <c r="H338">
        <v>9777</v>
      </c>
      <c r="I338">
        <v>380</v>
      </c>
      <c r="J338">
        <v>220</v>
      </c>
      <c r="K338">
        <v>143</v>
      </c>
      <c r="L338">
        <v>18</v>
      </c>
      <c r="M338">
        <v>2</v>
      </c>
      <c r="N338">
        <v>23</v>
      </c>
    </row>
    <row r="339" spans="1:14" x14ac:dyDescent="0.3">
      <c r="A339" s="1">
        <v>45662</v>
      </c>
      <c r="B339" s="1" t="str">
        <f>TEXT(Tabela1[[#This Row],[Data]],"mmmm")</f>
        <v>styczeń</v>
      </c>
      <c r="C339" s="1" t="str">
        <f>TEXT(Tabela1[[#This Row],[Data]],"dddd")</f>
        <v>niedziela</v>
      </c>
      <c r="D339">
        <f>WEEKNUM(Tabela1[[#This Row],[Data]],2)</f>
        <v>1</v>
      </c>
      <c r="E339" t="str">
        <f>IF(WEEKDAY(Tabela1[[#This Row],[Data]],2)&gt;5,"TAK","NIE")</f>
        <v>TAK</v>
      </c>
      <c r="F339" s="2">
        <f>IF(Tabela1[[#This Row],[Wypadki drogowe]]=0,0,Tabela1[[#This Row],[Zabici w wypadkach]]/Tabela1[[#This Row],[Wypadki drogowe]])</f>
        <v>0.125</v>
      </c>
      <c r="G339" s="40">
        <f>(Tabela1[[#This Row],[Zatrzymani na gorącym uczynku]]/Tabela1[[#This Row],[Interwencje]])*1000</f>
        <v>33.32407664537628</v>
      </c>
      <c r="H339">
        <v>10803</v>
      </c>
      <c r="I339">
        <v>360</v>
      </c>
      <c r="J339">
        <v>188</v>
      </c>
      <c r="K339">
        <v>147</v>
      </c>
      <c r="L339">
        <v>16</v>
      </c>
      <c r="M339">
        <v>2</v>
      </c>
      <c r="N339">
        <v>15</v>
      </c>
    </row>
    <row r="340" spans="1:14" x14ac:dyDescent="0.3">
      <c r="A340" s="1">
        <v>45661</v>
      </c>
      <c r="B340" s="1" t="str">
        <f>TEXT(Tabela1[[#This Row],[Data]],"mmmm")</f>
        <v>styczeń</v>
      </c>
      <c r="C340" s="1" t="str">
        <f>TEXT(Tabela1[[#This Row],[Data]],"dddd")</f>
        <v>sobota</v>
      </c>
      <c r="D340">
        <f>WEEKNUM(Tabela1[[#This Row],[Data]],2)</f>
        <v>1</v>
      </c>
      <c r="E340" t="str">
        <f>IF(WEEKDAY(Tabela1[[#This Row],[Data]],2)&gt;5,"TAK","NIE")</f>
        <v>TAK</v>
      </c>
      <c r="F340" s="2">
        <f>IF(Tabela1[[#This Row],[Wypadki drogowe]]=0,0,Tabela1[[#This Row],[Zabici w wypadkach]]/Tabela1[[#This Row],[Wypadki drogowe]])</f>
        <v>0</v>
      </c>
      <c r="G340" s="40">
        <f>(Tabela1[[#This Row],[Zatrzymani na gorącym uczynku]]/Tabela1[[#This Row],[Interwencje]])*1000</f>
        <v>32.731722239216886</v>
      </c>
      <c r="H340">
        <v>13076</v>
      </c>
      <c r="I340">
        <v>428</v>
      </c>
      <c r="J340">
        <v>258</v>
      </c>
      <c r="K340">
        <v>163</v>
      </c>
      <c r="L340">
        <v>30</v>
      </c>
      <c r="M340">
        <v>0</v>
      </c>
      <c r="N340">
        <v>35</v>
      </c>
    </row>
    <row r="341" spans="1:14" x14ac:dyDescent="0.3">
      <c r="A341" s="1">
        <v>45660</v>
      </c>
      <c r="B341" s="1" t="str">
        <f>TEXT(Tabela1[[#This Row],[Data]],"mmmm")</f>
        <v>styczeń</v>
      </c>
      <c r="C341" s="1" t="str">
        <f>TEXT(Tabela1[[#This Row],[Data]],"dddd")</f>
        <v>piątek</v>
      </c>
      <c r="D341">
        <f>WEEKNUM(Tabela1[[#This Row],[Data]],2)</f>
        <v>1</v>
      </c>
      <c r="E341" t="str">
        <f>IF(WEEKDAY(Tabela1[[#This Row],[Data]],2)&gt;5,"TAK","NIE")</f>
        <v>NIE</v>
      </c>
      <c r="F341" s="2">
        <f>IF(Tabela1[[#This Row],[Wypadki drogowe]]=0,0,Tabela1[[#This Row],[Zabici w wypadkach]]/Tabela1[[#This Row],[Wypadki drogowe]])</f>
        <v>7.6923076923076927E-2</v>
      </c>
      <c r="G341" s="40">
        <f>(Tabela1[[#This Row],[Zatrzymani na gorącym uczynku]]/Tabela1[[#This Row],[Interwencje]])*1000</f>
        <v>30.205179952909518</v>
      </c>
      <c r="H341">
        <v>14865</v>
      </c>
      <c r="I341">
        <v>449</v>
      </c>
      <c r="J341">
        <v>520</v>
      </c>
      <c r="K341">
        <v>154</v>
      </c>
      <c r="L341">
        <v>39</v>
      </c>
      <c r="M341">
        <v>3</v>
      </c>
      <c r="N341">
        <v>47</v>
      </c>
    </row>
    <row r="342" spans="1:14" x14ac:dyDescent="0.3">
      <c r="A342" s="1">
        <v>45659</v>
      </c>
      <c r="B342" s="1" t="str">
        <f>TEXT(Tabela1[[#This Row],[Data]],"mmmm")</f>
        <v>styczeń</v>
      </c>
      <c r="C342" s="1" t="str">
        <f>TEXT(Tabela1[[#This Row],[Data]],"dddd")</f>
        <v>czwartek</v>
      </c>
      <c r="D342">
        <f>WEEKNUM(Tabela1[[#This Row],[Data]],2)</f>
        <v>1</v>
      </c>
      <c r="E342" t="str">
        <f>IF(WEEKDAY(Tabela1[[#This Row],[Data]],2)&gt;5,"TAK","NIE")</f>
        <v>NIE</v>
      </c>
      <c r="F342" s="2">
        <f>IF(Tabela1[[#This Row],[Wypadki drogowe]]=0,0,Tabela1[[#This Row],[Zabici w wypadkach]]/Tabela1[[#This Row],[Wypadki drogowe]])</f>
        <v>4.5454545454545456E-2</v>
      </c>
      <c r="G342" s="40">
        <f>(Tabela1[[#This Row],[Zatrzymani na gorącym uczynku]]/Tabela1[[#This Row],[Interwencje]])*1000</f>
        <v>39.186581564494581</v>
      </c>
      <c r="H342">
        <v>13474</v>
      </c>
      <c r="I342">
        <v>528</v>
      </c>
      <c r="J342">
        <v>400</v>
      </c>
      <c r="K342">
        <v>288</v>
      </c>
      <c r="L342">
        <v>44</v>
      </c>
      <c r="M342">
        <v>2</v>
      </c>
      <c r="N342">
        <v>52</v>
      </c>
    </row>
    <row r="343" spans="1:14" x14ac:dyDescent="0.3">
      <c r="A343" s="1">
        <v>45658</v>
      </c>
      <c r="B343" s="1" t="str">
        <f>TEXT(Tabela1[[#This Row],[Data]],"mmmm")</f>
        <v>styczeń</v>
      </c>
      <c r="C343" s="1" t="str">
        <f>TEXT(Tabela1[[#This Row],[Data]],"dddd")</f>
        <v>środa</v>
      </c>
      <c r="D343">
        <f>WEEKNUM(Tabela1[[#This Row],[Data]],2)</f>
        <v>1</v>
      </c>
      <c r="E343" t="str">
        <f>IF(WEEKDAY(Tabela1[[#This Row],[Data]],2)&gt;5,"TAK","NIE")</f>
        <v>NIE</v>
      </c>
      <c r="F343" s="2">
        <f>IF(Tabela1[[#This Row],[Wypadki drogowe]]=0,0,Tabela1[[#This Row],[Zabici w wypadkach]]/Tabela1[[#This Row],[Wypadki drogowe]])</f>
        <v>0.1111111111111111</v>
      </c>
      <c r="G343" s="40">
        <f>(Tabela1[[#This Row],[Zatrzymani na gorącym uczynku]]/Tabela1[[#This Row],[Interwencje]])*1000</f>
        <v>33.536936729284314</v>
      </c>
      <c r="H343">
        <v>17354</v>
      </c>
      <c r="I343">
        <v>582</v>
      </c>
      <c r="J343">
        <v>232</v>
      </c>
      <c r="K343">
        <v>328</v>
      </c>
      <c r="L343">
        <v>27</v>
      </c>
      <c r="M343">
        <v>3</v>
      </c>
      <c r="N343">
        <v>29</v>
      </c>
    </row>
    <row r="344" spans="1:14" x14ac:dyDescent="0.3">
      <c r="A344" s="1">
        <v>45657</v>
      </c>
      <c r="B344" s="1" t="str">
        <f>TEXT(Tabela1[[#This Row],[Data]],"mmmm")</f>
        <v>grudzień</v>
      </c>
      <c r="C344" s="1" t="str">
        <f>TEXT(Tabela1[[#This Row],[Data]],"dddd")</f>
        <v>wtorek</v>
      </c>
      <c r="D344">
        <f>WEEKNUM(Tabela1[[#This Row],[Data]],2)</f>
        <v>53</v>
      </c>
      <c r="E344" t="str">
        <f>IF(WEEKDAY(Tabela1[[#This Row],[Data]],2)&gt;5,"TAK","NIE")</f>
        <v>NIE</v>
      </c>
      <c r="F344" s="2">
        <f>IF(Tabela1[[#This Row],[Wypadki drogowe]]=0,0,Tabela1[[#This Row],[Zabici w wypadkach]]/Tabela1[[#This Row],[Wypadki drogowe]])</f>
        <v>8.3333333333333329E-2</v>
      </c>
      <c r="G344" s="40">
        <f>(Tabela1[[#This Row],[Zatrzymani na gorącym uczynku]]/Tabela1[[#This Row],[Interwencje]])*1000</f>
        <v>25.433992733144933</v>
      </c>
      <c r="H344">
        <v>14862</v>
      </c>
      <c r="I344">
        <v>378</v>
      </c>
      <c r="J344">
        <v>277</v>
      </c>
      <c r="K344">
        <v>181</v>
      </c>
      <c r="L344">
        <v>36</v>
      </c>
      <c r="M344">
        <v>3</v>
      </c>
      <c r="N344">
        <v>34</v>
      </c>
    </row>
    <row r="345" spans="1:14" x14ac:dyDescent="0.3">
      <c r="A345" s="1">
        <v>45656</v>
      </c>
      <c r="B345" s="1" t="str">
        <f>TEXT(Tabela1[[#This Row],[Data]],"mmmm")</f>
        <v>grudzień</v>
      </c>
      <c r="C345" s="1" t="str">
        <f>TEXT(Tabela1[[#This Row],[Data]],"dddd")</f>
        <v>poniedziałek</v>
      </c>
      <c r="D345">
        <f>WEEKNUM(Tabela1[[#This Row],[Data]],2)</f>
        <v>53</v>
      </c>
      <c r="E345" t="str">
        <f>IF(WEEKDAY(Tabela1[[#This Row],[Data]],2)&gt;5,"TAK","NIE")</f>
        <v>NIE</v>
      </c>
      <c r="F345" s="2">
        <f>IF(Tabela1[[#This Row],[Wypadki drogowe]]=0,0,Tabela1[[#This Row],[Zabici w wypadkach]]/Tabela1[[#This Row],[Wypadki drogowe]])</f>
        <v>8.5106382978723402E-2</v>
      </c>
      <c r="G345" s="40">
        <f>(Tabela1[[#This Row],[Zatrzymani na gorącym uczynku]]/Tabela1[[#This Row],[Interwencje]])*1000</f>
        <v>27.742239579826276</v>
      </c>
      <c r="H345">
        <v>14851</v>
      </c>
      <c r="I345">
        <v>412</v>
      </c>
      <c r="J345">
        <v>364</v>
      </c>
      <c r="K345">
        <v>156</v>
      </c>
      <c r="L345">
        <v>47</v>
      </c>
      <c r="M345">
        <v>4</v>
      </c>
      <c r="N345">
        <v>54</v>
      </c>
    </row>
    <row r="346" spans="1:14" x14ac:dyDescent="0.3">
      <c r="A346" s="1">
        <v>45655</v>
      </c>
      <c r="B346" s="1" t="str">
        <f>TEXT(Tabela1[[#This Row],[Data]],"mmmm")</f>
        <v>grudzień</v>
      </c>
      <c r="C346" s="1" t="str">
        <f>TEXT(Tabela1[[#This Row],[Data]],"dddd")</f>
        <v>niedziela</v>
      </c>
      <c r="D346">
        <f>WEEKNUM(Tabela1[[#This Row],[Data]],2)</f>
        <v>52</v>
      </c>
      <c r="E346" t="str">
        <f>IF(WEEKDAY(Tabela1[[#This Row],[Data]],2)&gt;5,"TAK","NIE")</f>
        <v>TAK</v>
      </c>
      <c r="F346" s="2">
        <f>IF(Tabela1[[#This Row],[Wypadki drogowe]]=0,0,Tabela1[[#This Row],[Zabici w wypadkach]]/Tabela1[[#This Row],[Wypadki drogowe]])</f>
        <v>0.15625</v>
      </c>
      <c r="G346" s="40">
        <f>(Tabela1[[#This Row],[Zatrzymani na gorącym uczynku]]/Tabela1[[#This Row],[Interwencje]])*1000</f>
        <v>31.196287383980749</v>
      </c>
      <c r="H346">
        <v>11636</v>
      </c>
      <c r="I346">
        <v>363</v>
      </c>
      <c r="J346">
        <v>222</v>
      </c>
      <c r="K346">
        <v>172</v>
      </c>
      <c r="L346">
        <v>32</v>
      </c>
      <c r="M346">
        <v>5</v>
      </c>
      <c r="N346">
        <v>39</v>
      </c>
    </row>
    <row r="347" spans="1:14" x14ac:dyDescent="0.3">
      <c r="A347" s="1">
        <v>45654</v>
      </c>
      <c r="B347" s="1" t="str">
        <f>TEXT(Tabela1[[#This Row],[Data]],"mmmm")</f>
        <v>grudzień</v>
      </c>
      <c r="C347" s="1" t="str">
        <f>TEXT(Tabela1[[#This Row],[Data]],"dddd")</f>
        <v>sobota</v>
      </c>
      <c r="D347">
        <f>WEEKNUM(Tabela1[[#This Row],[Data]],2)</f>
        <v>52</v>
      </c>
      <c r="E347" t="str">
        <f>IF(WEEKDAY(Tabela1[[#This Row],[Data]],2)&gt;5,"TAK","NIE")</f>
        <v>TAK</v>
      </c>
      <c r="F347" s="2">
        <f>IF(Tabela1[[#This Row],[Wypadki drogowe]]=0,0,Tabela1[[#This Row],[Zabici w wypadkach]]/Tabela1[[#This Row],[Wypadki drogowe]])</f>
        <v>0.1</v>
      </c>
      <c r="G347" s="40">
        <f>(Tabela1[[#This Row],[Zatrzymani na gorącym uczynku]]/Tabela1[[#This Row],[Interwencje]])*1000</f>
        <v>30.313588850174213</v>
      </c>
      <c r="H347">
        <v>14350</v>
      </c>
      <c r="I347">
        <v>435</v>
      </c>
      <c r="J347">
        <v>252</v>
      </c>
      <c r="K347">
        <v>170</v>
      </c>
      <c r="L347">
        <v>30</v>
      </c>
      <c r="M347">
        <v>3</v>
      </c>
      <c r="N347">
        <v>40</v>
      </c>
    </row>
    <row r="348" spans="1:14" x14ac:dyDescent="0.3">
      <c r="A348" s="1">
        <v>45653</v>
      </c>
      <c r="B348" s="1" t="str">
        <f>TEXT(Tabela1[[#This Row],[Data]],"mmmm")</f>
        <v>grudzień</v>
      </c>
      <c r="C348" s="1" t="str">
        <f>TEXT(Tabela1[[#This Row],[Data]],"dddd")</f>
        <v>piątek</v>
      </c>
      <c r="D348">
        <f>WEEKNUM(Tabela1[[#This Row],[Data]],2)</f>
        <v>52</v>
      </c>
      <c r="E348" t="str">
        <f>IF(WEEKDAY(Tabela1[[#This Row],[Data]],2)&gt;5,"TAK","NIE")</f>
        <v>NIE</v>
      </c>
      <c r="F348" s="2">
        <f>IF(Tabela1[[#This Row],[Wypadki drogowe]]=0,0,Tabela1[[#This Row],[Zabici w wypadkach]]/Tabela1[[#This Row],[Wypadki drogowe]])</f>
        <v>6.25E-2</v>
      </c>
      <c r="G348" s="40">
        <f>(Tabela1[[#This Row],[Zatrzymani na gorącym uczynku]]/Tabela1[[#This Row],[Interwencje]])*1000</f>
        <v>30.616958099637085</v>
      </c>
      <c r="H348">
        <v>15155</v>
      </c>
      <c r="I348">
        <v>464</v>
      </c>
      <c r="J348">
        <v>465</v>
      </c>
      <c r="K348">
        <v>229</v>
      </c>
      <c r="L348">
        <v>64</v>
      </c>
      <c r="M348">
        <v>4</v>
      </c>
      <c r="N348">
        <v>78</v>
      </c>
    </row>
    <row r="349" spans="1:14" x14ac:dyDescent="0.3">
      <c r="A349" s="1">
        <v>45652</v>
      </c>
      <c r="B349" s="1" t="str">
        <f>TEXT(Tabela1[[#This Row],[Data]],"mmmm")</f>
        <v>grudzień</v>
      </c>
      <c r="C349" s="1" t="str">
        <f>TEXT(Tabela1[[#This Row],[Data]],"dddd")</f>
        <v>czwartek</v>
      </c>
      <c r="D349">
        <f>WEEKNUM(Tabela1[[#This Row],[Data]],2)</f>
        <v>52</v>
      </c>
      <c r="E349" t="str">
        <f>IF(WEEKDAY(Tabela1[[#This Row],[Data]],2)&gt;5,"TAK","NIE")</f>
        <v>NIE</v>
      </c>
      <c r="F349" s="2">
        <f>IF(Tabela1[[#This Row],[Wypadki drogowe]]=0,0,Tabela1[[#This Row],[Zabici w wypadkach]]/Tabela1[[#This Row],[Wypadki drogowe]])</f>
        <v>0.18181818181818182</v>
      </c>
      <c r="G349" s="40">
        <f>(Tabela1[[#This Row],[Zatrzymani na gorącym uczynku]]/Tabela1[[#This Row],[Interwencje]])*1000</f>
        <v>32.12627669452182</v>
      </c>
      <c r="H349">
        <v>10770</v>
      </c>
      <c r="I349">
        <v>346</v>
      </c>
      <c r="J349">
        <v>162</v>
      </c>
      <c r="K349">
        <v>166</v>
      </c>
      <c r="L349">
        <v>22</v>
      </c>
      <c r="M349">
        <v>4</v>
      </c>
      <c r="N349">
        <v>25</v>
      </c>
    </row>
    <row r="350" spans="1:14" x14ac:dyDescent="0.3">
      <c r="A350" s="1">
        <v>45651</v>
      </c>
      <c r="B350" s="1" t="str">
        <f>TEXT(Tabela1[[#This Row],[Data]],"mmmm")</f>
        <v>grudzień</v>
      </c>
      <c r="C350" s="1" t="str">
        <f>TEXT(Tabela1[[#This Row],[Data]],"dddd")</f>
        <v>środa</v>
      </c>
      <c r="D350">
        <f>WEEKNUM(Tabela1[[#This Row],[Data]],2)</f>
        <v>52</v>
      </c>
      <c r="E350" t="str">
        <f>IF(WEEKDAY(Tabela1[[#This Row],[Data]],2)&gt;5,"TAK","NIE")</f>
        <v>NIE</v>
      </c>
      <c r="F350" s="2">
        <f>IF(Tabela1[[#This Row],[Wypadki drogowe]]=0,0,Tabela1[[#This Row],[Zabici w wypadkach]]/Tabela1[[#This Row],[Wypadki drogowe]])</f>
        <v>0.1111111111111111</v>
      </c>
      <c r="G350" s="40">
        <f>(Tabela1[[#This Row],[Zatrzymani na gorącym uczynku]]/Tabela1[[#This Row],[Interwencje]])*1000</f>
        <v>31.076301162203134</v>
      </c>
      <c r="H350">
        <v>11874</v>
      </c>
      <c r="I350">
        <v>369</v>
      </c>
      <c r="J350">
        <v>176</v>
      </c>
      <c r="K350">
        <v>172</v>
      </c>
      <c r="L350">
        <v>18</v>
      </c>
      <c r="M350">
        <v>2</v>
      </c>
      <c r="N350">
        <v>21</v>
      </c>
    </row>
    <row r="351" spans="1:14" x14ac:dyDescent="0.3">
      <c r="A351" s="1">
        <v>45650</v>
      </c>
      <c r="B351" s="1" t="str">
        <f>TEXT(Tabela1[[#This Row],[Data]],"mmmm")</f>
        <v>grudzień</v>
      </c>
      <c r="C351" s="1" t="str">
        <f>TEXT(Tabela1[[#This Row],[Data]],"dddd")</f>
        <v>wtorek</v>
      </c>
      <c r="D351">
        <f>WEEKNUM(Tabela1[[#This Row],[Data]],2)</f>
        <v>52</v>
      </c>
      <c r="E351" t="str">
        <f>IF(WEEKDAY(Tabela1[[#This Row],[Data]],2)&gt;5,"TAK","NIE")</f>
        <v>NIE</v>
      </c>
      <c r="F351" s="2">
        <f>IF(Tabela1[[#This Row],[Wypadki drogowe]]=0,0,Tabela1[[#This Row],[Zabici w wypadkach]]/Tabela1[[#This Row],[Wypadki drogowe]])</f>
        <v>0.1</v>
      </c>
      <c r="G351" s="40">
        <f>(Tabela1[[#This Row],[Zatrzymani na gorącym uczynku]]/Tabela1[[#This Row],[Interwencje]])*1000</f>
        <v>28.402771836769613</v>
      </c>
      <c r="H351">
        <v>11689</v>
      </c>
      <c r="I351">
        <v>332</v>
      </c>
      <c r="J351">
        <v>298</v>
      </c>
      <c r="K351">
        <v>174</v>
      </c>
      <c r="L351">
        <v>30</v>
      </c>
      <c r="M351">
        <v>3</v>
      </c>
      <c r="N351">
        <v>31</v>
      </c>
    </row>
    <row r="352" spans="1:14" x14ac:dyDescent="0.3">
      <c r="A352" s="1">
        <v>45649</v>
      </c>
      <c r="B352" s="1" t="str">
        <f>TEXT(Tabela1[[#This Row],[Data]],"mmmm")</f>
        <v>grudzień</v>
      </c>
      <c r="C352" s="1" t="str">
        <f>TEXT(Tabela1[[#This Row],[Data]],"dddd")</f>
        <v>poniedziałek</v>
      </c>
      <c r="D352">
        <f>WEEKNUM(Tabela1[[#This Row],[Data]],2)</f>
        <v>52</v>
      </c>
      <c r="E352" t="str">
        <f>IF(WEEKDAY(Tabela1[[#This Row],[Data]],2)&gt;5,"TAK","NIE")</f>
        <v>NIE</v>
      </c>
      <c r="F352" s="2">
        <f>IF(Tabela1[[#This Row],[Wypadki drogowe]]=0,0,Tabela1[[#This Row],[Zabici w wypadkach]]/Tabela1[[#This Row],[Wypadki drogowe]])</f>
        <v>5.4545454545454543E-2</v>
      </c>
      <c r="G352" s="40">
        <f>(Tabela1[[#This Row],[Zatrzymani na gorącym uczynku]]/Tabela1[[#This Row],[Interwencje]])*1000</f>
        <v>31.969074062710927</v>
      </c>
      <c r="H352">
        <v>16297</v>
      </c>
      <c r="I352">
        <v>521</v>
      </c>
      <c r="J352">
        <v>525</v>
      </c>
      <c r="K352">
        <v>221</v>
      </c>
      <c r="L352">
        <v>55</v>
      </c>
      <c r="M352">
        <v>3</v>
      </c>
      <c r="N352">
        <v>56</v>
      </c>
    </row>
    <row r="353" spans="1:14" x14ac:dyDescent="0.3">
      <c r="A353" s="1">
        <v>45648</v>
      </c>
      <c r="B353" s="1" t="str">
        <f>TEXT(Tabela1[[#This Row],[Data]],"mmmm")</f>
        <v>grudzień</v>
      </c>
      <c r="C353" s="1" t="str">
        <f>TEXT(Tabela1[[#This Row],[Data]],"dddd")</f>
        <v>niedziela</v>
      </c>
      <c r="D353">
        <f>WEEKNUM(Tabela1[[#This Row],[Data]],2)</f>
        <v>51</v>
      </c>
      <c r="E353" t="str">
        <f>IF(WEEKDAY(Tabela1[[#This Row],[Data]],2)&gt;5,"TAK","NIE")</f>
        <v>TAK</v>
      </c>
      <c r="F353" s="2">
        <f>IF(Tabela1[[#This Row],[Wypadki drogowe]]=0,0,Tabela1[[#This Row],[Zabici w wypadkach]]/Tabela1[[#This Row],[Wypadki drogowe]])</f>
        <v>9.6774193548387094E-2</v>
      </c>
      <c r="G353" s="40">
        <f>(Tabela1[[#This Row],[Zatrzymani na gorącym uczynku]]/Tabela1[[#This Row],[Interwencje]])*1000</f>
        <v>36.634149764895781</v>
      </c>
      <c r="H353">
        <v>14249</v>
      </c>
      <c r="I353">
        <v>522</v>
      </c>
      <c r="J353">
        <v>233</v>
      </c>
      <c r="K353">
        <v>246</v>
      </c>
      <c r="L353">
        <v>31</v>
      </c>
      <c r="M353">
        <v>3</v>
      </c>
      <c r="N353">
        <v>37</v>
      </c>
    </row>
    <row r="354" spans="1:14" x14ac:dyDescent="0.3">
      <c r="A354" s="1">
        <v>45647</v>
      </c>
      <c r="B354" s="1" t="str">
        <f>TEXT(Tabela1[[#This Row],[Data]],"mmmm")</f>
        <v>grudzień</v>
      </c>
      <c r="C354" s="1" t="str">
        <f>TEXT(Tabela1[[#This Row],[Data]],"dddd")</f>
        <v>sobota</v>
      </c>
      <c r="D354">
        <f>WEEKNUM(Tabela1[[#This Row],[Data]],2)</f>
        <v>51</v>
      </c>
      <c r="E354" t="str">
        <f>IF(WEEKDAY(Tabela1[[#This Row],[Data]],2)&gt;5,"TAK","NIE")</f>
        <v>TAK</v>
      </c>
      <c r="F354" s="2">
        <f>IF(Tabela1[[#This Row],[Wypadki drogowe]]=0,0,Tabela1[[#This Row],[Zabici w wypadkach]]/Tabela1[[#This Row],[Wypadki drogowe]])</f>
        <v>8.6956521739130432E-2</v>
      </c>
      <c r="G354" s="40">
        <f>(Tabela1[[#This Row],[Zatrzymani na gorącym uczynku]]/Tabela1[[#This Row],[Interwencje]])*1000</f>
        <v>31.914893617021274</v>
      </c>
      <c r="H354">
        <v>16732</v>
      </c>
      <c r="I354">
        <v>534</v>
      </c>
      <c r="J354">
        <v>297</v>
      </c>
      <c r="K354">
        <v>266</v>
      </c>
      <c r="L354">
        <v>46</v>
      </c>
      <c r="M354">
        <v>4</v>
      </c>
      <c r="N354">
        <v>51</v>
      </c>
    </row>
    <row r="355" spans="1:14" x14ac:dyDescent="0.3">
      <c r="A355" s="1">
        <v>45646</v>
      </c>
      <c r="B355" s="1" t="str">
        <f>TEXT(Tabela1[[#This Row],[Data]],"mmmm")</f>
        <v>grudzień</v>
      </c>
      <c r="C355" s="1" t="str">
        <f>TEXT(Tabela1[[#This Row],[Data]],"dddd")</f>
        <v>piątek</v>
      </c>
      <c r="D355">
        <f>WEEKNUM(Tabela1[[#This Row],[Data]],2)</f>
        <v>51</v>
      </c>
      <c r="E355" t="str">
        <f>IF(WEEKDAY(Tabela1[[#This Row],[Data]],2)&gt;5,"TAK","NIE")</f>
        <v>NIE</v>
      </c>
      <c r="F355" s="2">
        <f>IF(Tabela1[[#This Row],[Wypadki drogowe]]=0,0,Tabela1[[#This Row],[Zabici w wypadkach]]/Tabela1[[#This Row],[Wypadki drogowe]])</f>
        <v>9.0909090909090912E-2</v>
      </c>
      <c r="G355" s="40">
        <f>(Tabela1[[#This Row],[Zatrzymani na gorącym uczynku]]/Tabela1[[#This Row],[Interwencje]])*1000</f>
        <v>32.036209734305196</v>
      </c>
      <c r="H355">
        <v>17012</v>
      </c>
      <c r="I355">
        <v>545</v>
      </c>
      <c r="J355">
        <v>420</v>
      </c>
      <c r="K355">
        <v>217</v>
      </c>
      <c r="L355">
        <v>77</v>
      </c>
      <c r="M355">
        <v>7</v>
      </c>
      <c r="N355">
        <v>79</v>
      </c>
    </row>
    <row r="356" spans="1:14" x14ac:dyDescent="0.3">
      <c r="A356" s="1">
        <v>45645</v>
      </c>
      <c r="B356" s="1" t="str">
        <f>TEXT(Tabela1[[#This Row],[Data]],"mmmm")</f>
        <v>grudzień</v>
      </c>
      <c r="C356" s="1" t="str">
        <f>TEXT(Tabela1[[#This Row],[Data]],"dddd")</f>
        <v>czwartek</v>
      </c>
      <c r="D356">
        <f>WEEKNUM(Tabela1[[#This Row],[Data]],2)</f>
        <v>51</v>
      </c>
      <c r="E356" t="str">
        <f>IF(WEEKDAY(Tabela1[[#This Row],[Data]],2)&gt;5,"TAK","NIE")</f>
        <v>NIE</v>
      </c>
      <c r="F356" s="2">
        <f>IF(Tabela1[[#This Row],[Wypadki drogowe]]=0,0,Tabela1[[#This Row],[Zabici w wypadkach]]/Tabela1[[#This Row],[Wypadki drogowe]])</f>
        <v>9.5238095238095233E-2</v>
      </c>
      <c r="G356" s="40">
        <f>(Tabela1[[#This Row],[Zatrzymani na gorącym uczynku]]/Tabela1[[#This Row],[Interwencje]])*1000</f>
        <v>31.826657236546005</v>
      </c>
      <c r="H356">
        <v>15553</v>
      </c>
      <c r="I356">
        <v>495</v>
      </c>
      <c r="J356">
        <v>457</v>
      </c>
      <c r="K356">
        <v>215</v>
      </c>
      <c r="L356">
        <v>63</v>
      </c>
      <c r="M356">
        <v>6</v>
      </c>
      <c r="N356">
        <v>76</v>
      </c>
    </row>
    <row r="357" spans="1:14" x14ac:dyDescent="0.3">
      <c r="A357" s="1">
        <v>45644</v>
      </c>
      <c r="B357" s="1" t="str">
        <f>TEXT(Tabela1[[#This Row],[Data]],"mmmm")</f>
        <v>grudzień</v>
      </c>
      <c r="C357" s="1" t="str">
        <f>TEXT(Tabela1[[#This Row],[Data]],"dddd")</f>
        <v>środa</v>
      </c>
      <c r="D357">
        <f>WEEKNUM(Tabela1[[#This Row],[Data]],2)</f>
        <v>51</v>
      </c>
      <c r="E357" t="str">
        <f>IF(WEEKDAY(Tabela1[[#This Row],[Data]],2)&gt;5,"TAK","NIE")</f>
        <v>NIE</v>
      </c>
      <c r="F357" s="2">
        <f>IF(Tabela1[[#This Row],[Wypadki drogowe]]=0,0,Tabela1[[#This Row],[Zabici w wypadkach]]/Tabela1[[#This Row],[Wypadki drogowe]])</f>
        <v>6.3492063492063489E-2</v>
      </c>
      <c r="G357" s="40">
        <f>(Tabela1[[#This Row],[Zatrzymani na gorącym uczynku]]/Tabela1[[#This Row],[Interwencje]])*1000</f>
        <v>34.616906237636819</v>
      </c>
      <c r="H357">
        <v>15166</v>
      </c>
      <c r="I357">
        <v>525</v>
      </c>
      <c r="J357">
        <v>463</v>
      </c>
      <c r="K357">
        <v>213</v>
      </c>
      <c r="L357">
        <v>63</v>
      </c>
      <c r="M357">
        <v>4</v>
      </c>
      <c r="N357">
        <v>74</v>
      </c>
    </row>
    <row r="358" spans="1:14" x14ac:dyDescent="0.3">
      <c r="A358" s="1">
        <v>45643</v>
      </c>
      <c r="B358" s="1" t="str">
        <f>TEXT(Tabela1[[#This Row],[Data]],"mmmm")</f>
        <v>grudzień</v>
      </c>
      <c r="C358" s="1" t="str">
        <f>TEXT(Tabela1[[#This Row],[Data]],"dddd")</f>
        <v>wtorek</v>
      </c>
      <c r="D358">
        <f>WEEKNUM(Tabela1[[#This Row],[Data]],2)</f>
        <v>51</v>
      </c>
      <c r="E358" t="str">
        <f>IF(WEEKDAY(Tabela1[[#This Row],[Data]],2)&gt;5,"TAK","NIE")</f>
        <v>NIE</v>
      </c>
      <c r="F358" s="2">
        <f>IF(Tabela1[[#This Row],[Wypadki drogowe]]=0,0,Tabela1[[#This Row],[Zabici w wypadkach]]/Tabela1[[#This Row],[Wypadki drogowe]])</f>
        <v>0.13846153846153847</v>
      </c>
      <c r="G358" s="40">
        <f>(Tabela1[[#This Row],[Zatrzymani na gorącym uczynku]]/Tabela1[[#This Row],[Interwencje]])*1000</f>
        <v>36.00643690492155</v>
      </c>
      <c r="H358">
        <v>14914</v>
      </c>
      <c r="I358">
        <v>537</v>
      </c>
      <c r="J358">
        <v>433</v>
      </c>
      <c r="K358">
        <v>245</v>
      </c>
      <c r="L358">
        <v>65</v>
      </c>
      <c r="M358">
        <v>9</v>
      </c>
      <c r="N358">
        <v>70</v>
      </c>
    </row>
    <row r="359" spans="1:14" x14ac:dyDescent="0.3">
      <c r="A359" s="1">
        <v>45642</v>
      </c>
      <c r="B359" s="1" t="str">
        <f>TEXT(Tabela1[[#This Row],[Data]],"mmmm")</f>
        <v>grudzień</v>
      </c>
      <c r="C359" s="1" t="str">
        <f>TEXT(Tabela1[[#This Row],[Data]],"dddd")</f>
        <v>poniedziałek</v>
      </c>
      <c r="D359">
        <f>WEEKNUM(Tabela1[[#This Row],[Data]],2)</f>
        <v>51</v>
      </c>
      <c r="E359" t="str">
        <f>IF(WEEKDAY(Tabela1[[#This Row],[Data]],2)&gt;5,"TAK","NIE")</f>
        <v>NIE</v>
      </c>
      <c r="F359" s="2">
        <f>IF(Tabela1[[#This Row],[Wypadki drogowe]]=0,0,Tabela1[[#This Row],[Zabici w wypadkach]]/Tabela1[[#This Row],[Wypadki drogowe]])</f>
        <v>0.10714285714285714</v>
      </c>
      <c r="G359" s="40">
        <f>(Tabela1[[#This Row],[Zatrzymani na gorącym uczynku]]/Tabela1[[#This Row],[Interwencje]])*1000</f>
        <v>29.319371727748692</v>
      </c>
      <c r="H359">
        <v>15280</v>
      </c>
      <c r="I359">
        <v>448</v>
      </c>
      <c r="J359">
        <v>400</v>
      </c>
      <c r="K359">
        <v>191</v>
      </c>
      <c r="L359">
        <v>84</v>
      </c>
      <c r="M359">
        <v>9</v>
      </c>
      <c r="N359">
        <v>91</v>
      </c>
    </row>
    <row r="360" spans="1:14" x14ac:dyDescent="0.3">
      <c r="A360" s="1">
        <v>45641</v>
      </c>
      <c r="B360" s="1" t="str">
        <f>TEXT(Tabela1[[#This Row],[Data]],"mmmm")</f>
        <v>grudzień</v>
      </c>
      <c r="C360" s="1" t="str">
        <f>TEXT(Tabela1[[#This Row],[Data]],"dddd")</f>
        <v>niedziela</v>
      </c>
      <c r="D360">
        <f>WEEKNUM(Tabela1[[#This Row],[Data]],2)</f>
        <v>50</v>
      </c>
      <c r="E360" t="str">
        <f>IF(WEEKDAY(Tabela1[[#This Row],[Data]],2)&gt;5,"TAK","NIE")</f>
        <v>TAK</v>
      </c>
      <c r="F360" s="2">
        <f>IF(Tabela1[[#This Row],[Wypadki drogowe]]=0,0,Tabela1[[#This Row],[Zabici w wypadkach]]/Tabela1[[#This Row],[Wypadki drogowe]])</f>
        <v>0.25</v>
      </c>
      <c r="G360" s="40">
        <f>(Tabela1[[#This Row],[Zatrzymani na gorącym uczynku]]/Tabela1[[#This Row],[Interwencje]])*1000</f>
        <v>36.989998412446418</v>
      </c>
      <c r="H360">
        <v>12598</v>
      </c>
      <c r="I360">
        <v>466</v>
      </c>
      <c r="J360">
        <v>245</v>
      </c>
      <c r="K360">
        <v>204</v>
      </c>
      <c r="L360">
        <v>40</v>
      </c>
      <c r="M360">
        <v>10</v>
      </c>
      <c r="N360">
        <v>62</v>
      </c>
    </row>
    <row r="361" spans="1:14" x14ac:dyDescent="0.3">
      <c r="A361" s="1">
        <v>45640</v>
      </c>
      <c r="B361" s="1" t="str">
        <f>TEXT(Tabela1[[#This Row],[Data]],"mmmm")</f>
        <v>grudzień</v>
      </c>
      <c r="C361" s="1" t="str">
        <f>TEXT(Tabela1[[#This Row],[Data]],"dddd")</f>
        <v>sobota</v>
      </c>
      <c r="D361">
        <f>WEEKNUM(Tabela1[[#This Row],[Data]],2)</f>
        <v>50</v>
      </c>
      <c r="E361" t="str">
        <f>IF(WEEKDAY(Tabela1[[#This Row],[Data]],2)&gt;5,"TAK","NIE")</f>
        <v>TAK</v>
      </c>
      <c r="F361" s="2">
        <f>IF(Tabela1[[#This Row],[Wypadki drogowe]]=0,0,Tabela1[[#This Row],[Zabici w wypadkach]]/Tabela1[[#This Row],[Wypadki drogowe]])</f>
        <v>6.9767441860465115E-2</v>
      </c>
      <c r="G361" s="40">
        <f>(Tabela1[[#This Row],[Zatrzymani na gorącym uczynku]]/Tabela1[[#This Row],[Interwencje]])*1000</f>
        <v>32.238766285562356</v>
      </c>
      <c r="H361">
        <v>15044</v>
      </c>
      <c r="I361">
        <v>485</v>
      </c>
      <c r="J361">
        <v>268</v>
      </c>
      <c r="K361">
        <v>217</v>
      </c>
      <c r="L361">
        <v>43</v>
      </c>
      <c r="M361">
        <v>3</v>
      </c>
      <c r="N361">
        <v>51</v>
      </c>
    </row>
    <row r="362" spans="1:14" x14ac:dyDescent="0.3">
      <c r="A362" s="1">
        <v>45639</v>
      </c>
      <c r="B362" s="1" t="str">
        <f>TEXT(Tabela1[[#This Row],[Data]],"mmmm")</f>
        <v>grudzień</v>
      </c>
      <c r="C362" s="1" t="str">
        <f>TEXT(Tabela1[[#This Row],[Data]],"dddd")</f>
        <v>piątek</v>
      </c>
      <c r="D362">
        <f>WEEKNUM(Tabela1[[#This Row],[Data]],2)</f>
        <v>50</v>
      </c>
      <c r="E362" t="str">
        <f>IF(WEEKDAY(Tabela1[[#This Row],[Data]],2)&gt;5,"TAK","NIE")</f>
        <v>NIE</v>
      </c>
      <c r="F362" s="2">
        <f>IF(Tabela1[[#This Row],[Wypadki drogowe]]=0,0,Tabela1[[#This Row],[Zabici w wypadkach]]/Tabela1[[#This Row],[Wypadki drogowe]])</f>
        <v>8.5365853658536592E-2</v>
      </c>
      <c r="G362" s="40">
        <f>(Tabela1[[#This Row],[Zatrzymani na gorącym uczynku]]/Tabela1[[#This Row],[Interwencje]])*1000</f>
        <v>26.729275781108903</v>
      </c>
      <c r="H362">
        <v>16611</v>
      </c>
      <c r="I362">
        <v>444</v>
      </c>
      <c r="J362">
        <v>370</v>
      </c>
      <c r="K362">
        <v>211</v>
      </c>
      <c r="L362">
        <v>82</v>
      </c>
      <c r="M362">
        <v>7</v>
      </c>
      <c r="N362">
        <v>104</v>
      </c>
    </row>
    <row r="363" spans="1:14" x14ac:dyDescent="0.3">
      <c r="A363" s="1">
        <v>45638</v>
      </c>
      <c r="B363" s="1" t="str">
        <f>TEXT(Tabela1[[#This Row],[Data]],"mmmm")</f>
        <v>grudzień</v>
      </c>
      <c r="C363" s="1" t="str">
        <f>TEXT(Tabela1[[#This Row],[Data]],"dddd")</f>
        <v>czwartek</v>
      </c>
      <c r="D363">
        <f>WEEKNUM(Tabela1[[#This Row],[Data]],2)</f>
        <v>50</v>
      </c>
      <c r="E363" t="str">
        <f>IF(WEEKDAY(Tabela1[[#This Row],[Data]],2)&gt;5,"TAK","NIE")</f>
        <v>NIE</v>
      </c>
      <c r="F363" s="2">
        <f>IF(Tabela1[[#This Row],[Wypadki drogowe]]=0,0,Tabela1[[#This Row],[Zabici w wypadkach]]/Tabela1[[#This Row],[Wypadki drogowe]])</f>
        <v>1.8181818181818181E-2</v>
      </c>
      <c r="G363" s="40">
        <f>(Tabela1[[#This Row],[Zatrzymani na gorącym uczynku]]/Tabela1[[#This Row],[Interwencje]])*1000</f>
        <v>33.062880324543613</v>
      </c>
      <c r="H363">
        <v>14790</v>
      </c>
      <c r="I363">
        <v>489</v>
      </c>
      <c r="J363">
        <v>437</v>
      </c>
      <c r="K363">
        <v>217</v>
      </c>
      <c r="L363">
        <v>55</v>
      </c>
      <c r="M363">
        <v>1</v>
      </c>
      <c r="N363">
        <v>64</v>
      </c>
    </row>
    <row r="364" spans="1:14" x14ac:dyDescent="0.3">
      <c r="A364" s="1">
        <v>45637</v>
      </c>
      <c r="B364" s="1" t="str">
        <f>TEXT(Tabela1[[#This Row],[Data]],"mmmm")</f>
        <v>grudzień</v>
      </c>
      <c r="C364" s="1" t="str">
        <f>TEXT(Tabela1[[#This Row],[Data]],"dddd")</f>
        <v>środa</v>
      </c>
      <c r="D364">
        <f>WEEKNUM(Tabela1[[#This Row],[Data]],2)</f>
        <v>50</v>
      </c>
      <c r="E364" t="str">
        <f>IF(WEEKDAY(Tabela1[[#This Row],[Data]],2)&gt;5,"TAK","NIE")</f>
        <v>NIE</v>
      </c>
      <c r="F364" s="2">
        <f>IF(Tabela1[[#This Row],[Wypadki drogowe]]=0,0,Tabela1[[#This Row],[Zabici w wypadkach]]/Tabela1[[#This Row],[Wypadki drogowe]])</f>
        <v>4.4117647058823532E-2</v>
      </c>
      <c r="G364" s="40">
        <f>(Tabela1[[#This Row],[Zatrzymani na gorącym uczynku]]/Tabela1[[#This Row],[Interwencje]])*1000</f>
        <v>34.213767620090323</v>
      </c>
      <c r="H364">
        <v>14614</v>
      </c>
      <c r="I364">
        <v>500</v>
      </c>
      <c r="J364">
        <v>440</v>
      </c>
      <c r="K364">
        <v>182</v>
      </c>
      <c r="L364">
        <v>68</v>
      </c>
      <c r="M364">
        <v>3</v>
      </c>
      <c r="N364">
        <v>71</v>
      </c>
    </row>
    <row r="365" spans="1:14" x14ac:dyDescent="0.3">
      <c r="A365" s="1">
        <v>45636</v>
      </c>
      <c r="B365" s="1" t="str">
        <f>TEXT(Tabela1[[#This Row],[Data]],"mmmm")</f>
        <v>grudzień</v>
      </c>
      <c r="C365" s="1" t="str">
        <f>TEXT(Tabela1[[#This Row],[Data]],"dddd")</f>
        <v>wtorek</v>
      </c>
      <c r="D365">
        <f>WEEKNUM(Tabela1[[#This Row],[Data]],2)</f>
        <v>50</v>
      </c>
      <c r="E365" t="str">
        <f>IF(WEEKDAY(Tabela1[[#This Row],[Data]],2)&gt;5,"TAK","NIE")</f>
        <v>NIE</v>
      </c>
      <c r="F365" s="2">
        <f>IF(Tabela1[[#This Row],[Wypadki drogowe]]=0,0,Tabela1[[#This Row],[Zabici w wypadkach]]/Tabela1[[#This Row],[Wypadki drogowe]])</f>
        <v>9.0909090909090912E-2</v>
      </c>
      <c r="G365" s="40">
        <f>(Tabela1[[#This Row],[Zatrzymani na gorącym uczynku]]/Tabela1[[#This Row],[Interwencje]])*1000</f>
        <v>32.699892434564354</v>
      </c>
      <c r="H365">
        <v>13945</v>
      </c>
      <c r="I365">
        <v>456</v>
      </c>
      <c r="J365">
        <v>432</v>
      </c>
      <c r="K365">
        <v>149</v>
      </c>
      <c r="L365">
        <v>55</v>
      </c>
      <c r="M365">
        <v>5</v>
      </c>
      <c r="N365">
        <v>55</v>
      </c>
    </row>
    <row r="366" spans="1:14" x14ac:dyDescent="0.3">
      <c r="A366" s="1">
        <v>45635</v>
      </c>
      <c r="B366" s="1" t="str">
        <f>TEXT(Tabela1[[#This Row],[Data]],"mmmm")</f>
        <v>grudzień</v>
      </c>
      <c r="C366" s="1" t="str">
        <f>TEXT(Tabela1[[#This Row],[Data]],"dddd")</f>
        <v>poniedziałek</v>
      </c>
      <c r="D366">
        <f>WEEKNUM(Tabela1[[#This Row],[Data]],2)</f>
        <v>50</v>
      </c>
      <c r="E366" t="str">
        <f>IF(WEEKDAY(Tabela1[[#This Row],[Data]],2)&gt;5,"TAK","NIE")</f>
        <v>NIE</v>
      </c>
      <c r="F366" s="2">
        <f>IF(Tabela1[[#This Row],[Wypadki drogowe]]=0,0,Tabela1[[#This Row],[Zabici w wypadkach]]/Tabela1[[#This Row],[Wypadki drogowe]])</f>
        <v>5.1724137931034482E-2</v>
      </c>
      <c r="G366" s="40">
        <f>(Tabela1[[#This Row],[Zatrzymani na gorącym uczynku]]/Tabela1[[#This Row],[Interwencje]])*1000</f>
        <v>41.607798813224072</v>
      </c>
      <c r="H366">
        <v>14156</v>
      </c>
      <c r="I366">
        <v>589</v>
      </c>
      <c r="J366">
        <v>386</v>
      </c>
      <c r="K366">
        <v>295</v>
      </c>
      <c r="L366">
        <v>58</v>
      </c>
      <c r="M366">
        <v>3</v>
      </c>
      <c r="N366">
        <v>65</v>
      </c>
    </row>
    <row r="367" spans="1:14" x14ac:dyDescent="0.3">
      <c r="A367" s="1">
        <v>45634</v>
      </c>
      <c r="B367" s="1" t="str">
        <f>TEXT(Tabela1[[#This Row],[Data]],"mmmm")</f>
        <v>grudzień</v>
      </c>
      <c r="C367" s="1" t="str">
        <f>TEXT(Tabela1[[#This Row],[Data]],"dddd")</f>
        <v>niedziela</v>
      </c>
      <c r="D367">
        <f>WEEKNUM(Tabela1[[#This Row],[Data]],2)</f>
        <v>49</v>
      </c>
      <c r="E367" t="str">
        <f>IF(WEEKDAY(Tabela1[[#This Row],[Data]],2)&gt;5,"TAK","NIE")</f>
        <v>TAK</v>
      </c>
      <c r="F367" s="2">
        <f>IF(Tabela1[[#This Row],[Wypadki drogowe]]=0,0,Tabela1[[#This Row],[Zabici w wypadkach]]/Tabela1[[#This Row],[Wypadki drogowe]])</f>
        <v>8.5714285714285715E-2</v>
      </c>
      <c r="G367" s="40">
        <f>(Tabela1[[#This Row],[Zatrzymani na gorącym uczynku]]/Tabela1[[#This Row],[Interwencje]])*1000</f>
        <v>34.305894223492814</v>
      </c>
      <c r="H367">
        <v>11893</v>
      </c>
      <c r="I367">
        <v>408</v>
      </c>
      <c r="J367">
        <v>225</v>
      </c>
      <c r="K367">
        <v>184</v>
      </c>
      <c r="L367">
        <v>35</v>
      </c>
      <c r="M367">
        <v>3</v>
      </c>
      <c r="N367">
        <v>41</v>
      </c>
    </row>
    <row r="368" spans="1:14" x14ac:dyDescent="0.3">
      <c r="A368" s="1">
        <v>45633</v>
      </c>
      <c r="B368" s="1" t="str">
        <f>TEXT(Tabela1[[#This Row],[Data]],"mmmm")</f>
        <v>grudzień</v>
      </c>
      <c r="C368" s="1" t="str">
        <f>TEXT(Tabela1[[#This Row],[Data]],"dddd")</f>
        <v>sobota</v>
      </c>
      <c r="D368">
        <f>WEEKNUM(Tabela1[[#This Row],[Data]],2)</f>
        <v>49</v>
      </c>
      <c r="E368" t="str">
        <f>IF(WEEKDAY(Tabela1[[#This Row],[Data]],2)&gt;5,"TAK","NIE")</f>
        <v>TAK</v>
      </c>
      <c r="F368" s="2">
        <f>IF(Tabela1[[#This Row],[Wypadki drogowe]]=0,0,Tabela1[[#This Row],[Zabici w wypadkach]]/Tabela1[[#This Row],[Wypadki drogowe]])</f>
        <v>5.8823529411764705E-2</v>
      </c>
      <c r="G368" s="40">
        <f>(Tabela1[[#This Row],[Zatrzymani na gorącym uczynku]]/Tabela1[[#This Row],[Interwencje]])*1000</f>
        <v>33.297957017776596</v>
      </c>
      <c r="H368">
        <v>15076</v>
      </c>
      <c r="I368">
        <v>502</v>
      </c>
      <c r="J368">
        <v>249</v>
      </c>
      <c r="K368">
        <v>212</v>
      </c>
      <c r="L368">
        <v>51</v>
      </c>
      <c r="M368">
        <v>3</v>
      </c>
      <c r="N368">
        <v>58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Dashboard</vt:lpstr>
      <vt:lpstr>WykresyKPI</vt:lpstr>
      <vt:lpstr>Statystyka opisowa</vt:lpstr>
      <vt:lpstr>DanePolicja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Dagmara Anuszczyk</dc:creator>
  <cp:lastModifiedBy>Karolina Mazuch (119045)</cp:lastModifiedBy>
  <dcterms:created xsi:type="dcterms:W3CDTF">2025-12-09T10:15:46Z</dcterms:created>
  <dcterms:modified xsi:type="dcterms:W3CDTF">2026-01-26T18:29:44Z</dcterms:modified>
</cp:coreProperties>
</file>